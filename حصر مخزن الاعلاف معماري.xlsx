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5.xml" ContentType="application/vnd.openxmlformats-officedocument.drawing+xml"/>
  <Override PartName="/xl/embeddings/oleObject5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المكتب\PROJECTS\QS\الانتاج الحيواني\مخزن الاعلاف\"/>
    </mc:Choice>
  </mc:AlternateContent>
  <xr:revisionPtr revIDLastSave="0" documentId="13_ncr:1_{F85DC222-3686-4BED-B1B4-7007DC380AAA}" xr6:coauthVersionLast="47" xr6:coauthVersionMax="47" xr10:uidLastSave="{00000000-0000-0000-0000-000000000000}"/>
  <bookViews>
    <workbookView xWindow="28680" yWindow="-120" windowWidth="29040" windowHeight="15720" tabRatio="874" xr2:uid="{00000000-000D-0000-FFFF-FFFF00000000}"/>
  </bookViews>
  <sheets>
    <sheet name="الابواب المعدنيه" sheetId="86" r:id="rId1"/>
    <sheet name="الابواب المنزلقه" sheetId="85" r:id="rId2"/>
    <sheet name="الدهانات الداخليه " sheetId="84" r:id="rId3"/>
    <sheet name=".ايبوكسي" sheetId="83" r:id="rId4"/>
    <sheet name="مباني" sheetId="47" r:id="rId5"/>
  </sheets>
  <definedNames>
    <definedName name="_xlnm.Print_Area" localSheetId="3">'.ايبوكسي'!$A$1:$K$51</definedName>
    <definedName name="_xlnm.Print_Area" localSheetId="0">'الابواب المعدنيه'!$A$1:$K$24</definedName>
    <definedName name="_xlnm.Print_Area" localSheetId="1">'الابواب المنزلقه'!$A$1:$K$24</definedName>
    <definedName name="_xlnm.Print_Area" localSheetId="2">'الدهانات الداخليه '!$A$1:$K$48</definedName>
    <definedName name="_xlnm.Print_Area" localSheetId="4">مباني!$A$1:$K$47</definedName>
    <definedName name="_xlnm.Print_Titles" localSheetId="3">'.ايبوكسي'!$1:$12</definedName>
    <definedName name="_xlnm.Print_Titles" localSheetId="0">'الابواب المعدنيه'!$1:$12</definedName>
    <definedName name="_xlnm.Print_Titles" localSheetId="1">'الابواب المنزلقه'!$1:$12</definedName>
    <definedName name="_xlnm.Print_Titles" localSheetId="2">'الدهانات الداخليه '!$1:$12</definedName>
    <definedName name="_xlnm.Print_Titles" localSheetId="4">مباني!$1:$12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83" l="1"/>
  <c r="J19" i="83"/>
  <c r="J22" i="83"/>
  <c r="J21" i="83"/>
  <c r="J17" i="86"/>
  <c r="J22" i="86" s="1"/>
  <c r="J17" i="85"/>
  <c r="J22" i="85" s="1"/>
  <c r="J21" i="84"/>
  <c r="J20" i="84"/>
  <c r="J18" i="84"/>
  <c r="J17" i="84"/>
  <c r="J21" i="47"/>
  <c r="J18" i="47"/>
  <c r="J20" i="47"/>
  <c r="J34" i="83"/>
  <c r="J32" i="83"/>
  <c r="J30" i="83"/>
  <c r="J28" i="83"/>
  <c r="J24" i="83"/>
  <c r="J17" i="83"/>
  <c r="J17" i="47"/>
  <c r="J49" i="83" l="1"/>
  <c r="J46" i="84"/>
  <c r="J45" i="47"/>
</calcChain>
</file>

<file path=xl/sharedStrings.xml><?xml version="1.0" encoding="utf-8"?>
<sst xmlns="http://schemas.openxmlformats.org/spreadsheetml/2006/main" count="174" uniqueCount="50">
  <si>
    <t>Sr. #</t>
  </si>
  <si>
    <t>DESCRIPTION</t>
  </si>
  <si>
    <t>UNIT</t>
  </si>
  <si>
    <t>NO.</t>
  </si>
  <si>
    <t>L</t>
  </si>
  <si>
    <t>W</t>
  </si>
  <si>
    <t>H</t>
  </si>
  <si>
    <t>QTY</t>
  </si>
  <si>
    <t xml:space="preserve">TOTAL </t>
  </si>
  <si>
    <t>REMARKS</t>
  </si>
  <si>
    <t>+</t>
  </si>
  <si>
    <t>-</t>
  </si>
  <si>
    <t>TOTAL</t>
  </si>
  <si>
    <t>مراجعة</t>
  </si>
  <si>
    <t xml:space="preserve">اعداد  </t>
  </si>
  <si>
    <t>مهندس المالك</t>
  </si>
  <si>
    <t xml:space="preserve">مهندس المقاول </t>
  </si>
  <si>
    <t xml:space="preserve">البند : </t>
  </si>
  <si>
    <r>
      <t>الوحدة :      م</t>
    </r>
    <r>
      <rPr>
        <b/>
        <vertAlign val="superscript"/>
        <sz val="12"/>
        <rFont val="Calibri"/>
        <family val="2"/>
      </rPr>
      <t>2</t>
    </r>
  </si>
  <si>
    <t>اسم المشروع :</t>
  </si>
  <si>
    <t>المبني :</t>
  </si>
  <si>
    <t>نوع الاعمال :</t>
  </si>
  <si>
    <t>رقم البند :</t>
  </si>
  <si>
    <t>معمارية</t>
  </si>
  <si>
    <r>
      <t>م</t>
    </r>
    <r>
      <rPr>
        <vertAlign val="superscript"/>
        <sz val="10"/>
        <color indexed="8"/>
        <rFont val="Calibri"/>
        <family val="2"/>
      </rPr>
      <t>2</t>
    </r>
  </si>
  <si>
    <t>عدد</t>
  </si>
  <si>
    <t>حظائر تربية الاغنام و الماشية</t>
  </si>
  <si>
    <t>D1</t>
  </si>
  <si>
    <t>D2</t>
  </si>
  <si>
    <t>مخزن الاعلاف</t>
  </si>
  <si>
    <t xml:space="preserve"> توريد وعمل دهانات إيبوكسيه علي أسطح خرسانيه للأرضيات والسعر يشمل تشطيب‬‏
‫الأسطح بالهليكوبتر والتسويه والمعالجه والدهانات الإيبوكسيه وجميع الإكسسوارات وذلك طبقًا‬‏
‫لمخططات ومستندات التعاقد و توصيات الشركه المنتجه علي ان تعتمد العينات من المهندس قبل‬‏
‫التوريد مع الاإلتزام بالقائمة الاإلزامية .‬‏</t>
  </si>
  <si>
    <t>ارضيات المخزن</t>
  </si>
  <si>
    <t xml:space="preserve">خصم الاعمدة </t>
  </si>
  <si>
    <t>اضافه معابر الأبواب</t>
  </si>
  <si>
    <t xml:space="preserve">اضافه المنحدرات </t>
  </si>
  <si>
    <t>اضافه بسطه امام D2</t>
  </si>
  <si>
    <r>
      <t>م</t>
    </r>
    <r>
      <rPr>
        <vertAlign val="superscript"/>
        <sz val="10"/>
        <color theme="1"/>
        <rFont val="Calibri"/>
        <family val="2"/>
      </rPr>
      <t>2</t>
    </r>
  </si>
  <si>
    <t>( بلوكات من الطوب المعزول سمك 200 مم )</t>
  </si>
  <si>
    <t>الحوائط الخارجية للمخزن</t>
  </si>
  <si>
    <t>خصم الأبواب</t>
  </si>
  <si>
    <r>
      <t>م</t>
    </r>
    <r>
      <rPr>
        <vertAlign val="superscript"/>
        <sz val="10"/>
        <color rgb="FFFF0000"/>
        <rFont val="Calibri"/>
        <family val="2"/>
      </rPr>
      <t>2</t>
    </r>
  </si>
  <si>
    <t>مباني المخزن</t>
  </si>
  <si>
    <t>توريد وعمل دهانات بلاستيك للحوائط الداخليه والسعر يشمل بياض التخشين الاسمنتي سمك 20‬‏
‫ً مم اسفل الدهانات شاملا كل الإكسسوارات المعدنيه المطلوبه ويشمل تجهيز الأسطح وعمل 3‬‏
‫اوجه من الدهانات باللون المطلوب والسعر يشمل جميع الإكسسوارات طبقًا لتعليمات المهندس‬‏
‫وذلك طبقًا لمخططات ومستندات التعاقد وتوصيات الشركه المنتجه علي ان تعتمد العينات من‬‏
‫المهندس قبل التوريد مع الاإلتزام بالقائمة الاإلزامية .‬‏</t>
  </si>
  <si>
    <t>دهانات للحوائط الداخليه</t>
  </si>
  <si>
    <t>الحوائط</t>
  </si>
  <si>
    <t>توريد وتركيب أبواب معدنيه منزلقه لاعلي والسعر يشمل الحلوق والإطارات المعدنيه والدهانات‬‏
‫ونظام التشغيل الميكانيكي والموتور والتوصيلات الكهربائيه ومفتاح التشغيل والخردوات والضلف‬‏
‫المنزلقه ودلائل الحركه وجميع الإكسسوارات وذلك طبقًا لمخططات ومستندات التعاقد وتعليمات‬‏
‫الشركه المنتجه علي ان يقوم المقاول بتقديم مخططات الورشه للمهندس للإعتماد قبل التركيب‬‏
‫مع الاإلتزام بالقائمة الاإلزامية .‬‏</t>
  </si>
  <si>
    <t>أبواب معدنيه منزلقه للاعلي</t>
  </si>
  <si>
    <t>أبواب معدنيه</t>
  </si>
  <si>
    <t>الوزرة</t>
  </si>
  <si>
    <t>خصم  تقاطع الأبواب مع الوزرة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</si>
</sst>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_);_(* \(#,##0.000\);_(* &quot;-&quot;??_);_(@_)"/>
    <numFmt numFmtId="165" formatCode="_-* #,##0.00_-;\-* #,##0.00_-;_-* &quot;-&quot;??_-;_-@_-"/>
  </numFmts>
  <fonts count="44">
    <font>
      <sz val="11"/>
      <color indexed="8"/>
      <name val="Calibri"/>
      <family val="2"/>
      <charset val="17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78"/>
    </font>
    <font>
      <sz val="12"/>
      <color indexed="8"/>
      <name val="Calibri"/>
      <family val="2"/>
      <charset val="178"/>
    </font>
    <font>
      <sz val="11"/>
      <color indexed="8"/>
      <name val="Calibri"/>
      <family val="2"/>
    </font>
    <font>
      <sz val="10"/>
      <color indexed="8"/>
      <name val="Calibri"/>
      <family val="2"/>
      <charset val="178"/>
    </font>
    <font>
      <sz val="10"/>
      <color indexed="8"/>
      <name val="Calibri"/>
      <family val="2"/>
      <charset val="204"/>
    </font>
    <font>
      <b/>
      <sz val="10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theme="1"/>
      <name val="Calibri"/>
      <family val="2"/>
      <charset val="204"/>
    </font>
    <font>
      <b/>
      <sz val="10"/>
      <color indexed="8"/>
      <name val="Calibri"/>
      <family val="2"/>
      <charset val="204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b/>
      <sz val="12"/>
      <color indexed="8"/>
      <name val="Times New Roman"/>
      <family val="1"/>
    </font>
    <font>
      <b/>
      <sz val="12"/>
      <color indexed="8"/>
      <name val="Calibri"/>
      <family val="2"/>
      <charset val="178"/>
    </font>
    <font>
      <b/>
      <sz val="11"/>
      <color indexed="8"/>
      <name val="Calibri"/>
      <family val="2"/>
      <charset val="178"/>
    </font>
    <font>
      <sz val="11"/>
      <color theme="1"/>
      <name val="Calibri"/>
      <family val="2"/>
      <charset val="178"/>
      <scheme val="minor"/>
    </font>
    <font>
      <sz val="11"/>
      <name val="Calibri"/>
      <family val="2"/>
    </font>
    <font>
      <sz val="10"/>
      <color theme="1"/>
      <name val="SST Arabic"/>
      <family val="2"/>
    </font>
    <font>
      <sz val="12"/>
      <name val="Arabic Transparent"/>
      <charset val="178"/>
    </font>
    <font>
      <sz val="11"/>
      <name val="Arial Narrow"/>
      <family val="2"/>
    </font>
    <font>
      <sz val="10"/>
      <name val="Arial"/>
      <family val="2"/>
    </font>
    <font>
      <b/>
      <sz val="12"/>
      <name val="Calibri"/>
      <family val="2"/>
      <charset val="178"/>
    </font>
    <font>
      <b/>
      <vertAlign val="superscript"/>
      <sz val="12"/>
      <name val="Calibri"/>
      <family val="2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</font>
    <font>
      <vertAlign val="superscript"/>
      <sz val="10"/>
      <color indexed="8"/>
      <name val="Calibri"/>
      <family val="2"/>
    </font>
    <font>
      <sz val="10"/>
      <color rgb="FFFF0000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2"/>
      <color theme="1"/>
      <name val="Calibri"/>
      <family val="2"/>
      <charset val="204"/>
    </font>
    <font>
      <sz val="11"/>
      <color rgb="FFFF0000"/>
      <name val="Calibri"/>
      <family val="2"/>
    </font>
    <font>
      <sz val="8"/>
      <name val="Calibri"/>
      <family val="2"/>
      <charset val="178"/>
    </font>
    <font>
      <vertAlign val="superscript"/>
      <sz val="10"/>
      <color rgb="FFFF0000"/>
      <name val="Calibri"/>
      <family val="2"/>
    </font>
    <font>
      <sz val="10"/>
      <color rgb="FFFF000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vertAlign val="superscript"/>
      <sz val="10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0">
    <xf numFmtId="0" fontId="0" fillId="0" borderId="0"/>
    <xf numFmtId="43" fontId="3" fillId="0" borderId="0" applyFont="0" applyFill="0" applyBorder="0" applyAlignment="0" applyProtection="0"/>
    <xf numFmtId="0" fontId="20" fillId="0" borderId="0"/>
    <xf numFmtId="0" fontId="21" fillId="0" borderId="0"/>
    <xf numFmtId="0" fontId="21" fillId="0" borderId="0"/>
    <xf numFmtId="0" fontId="20" fillId="0" borderId="0"/>
    <xf numFmtId="0" fontId="23" fillId="0" borderId="0"/>
    <xf numFmtId="0" fontId="20" fillId="0" borderId="0"/>
    <xf numFmtId="0" fontId="24" fillId="0" borderId="0"/>
    <xf numFmtId="0" fontId="20" fillId="0" borderId="0"/>
    <xf numFmtId="0" fontId="24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0"/>
    <xf numFmtId="43" fontId="21" fillId="0" borderId="0" applyFont="0" applyFill="0" applyBorder="0" applyAlignment="0" applyProtection="0"/>
    <xf numFmtId="0" fontId="20" fillId="0" borderId="0"/>
    <xf numFmtId="165" fontId="20" fillId="0" borderId="0" applyFont="0" applyFill="0" applyBorder="0" applyAlignment="0" applyProtection="0"/>
    <xf numFmtId="0" fontId="25" fillId="0" borderId="0"/>
    <xf numFmtId="0" fontId="1" fillId="0" borderId="0"/>
  </cellStyleXfs>
  <cellXfs count="142">
    <xf numFmtId="0" fontId="0" fillId="0" borderId="0" xfId="0"/>
    <xf numFmtId="43" fontId="4" fillId="0" borderId="1" xfId="1" applyFont="1" applyBorder="1"/>
    <xf numFmtId="0" fontId="5" fillId="0" borderId="0" xfId="0" applyFont="1"/>
    <xf numFmtId="43" fontId="4" fillId="0" borderId="0" xfId="1" applyFont="1" applyBorder="1"/>
    <xf numFmtId="0" fontId="6" fillId="0" borderId="0" xfId="0" applyFont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3" fontId="13" fillId="0" borderId="14" xfId="1" applyFont="1" applyFill="1" applyBorder="1" applyAlignment="1">
      <alignment horizontal="center" vertical="center"/>
    </xf>
    <xf numFmtId="43" fontId="13" fillId="0" borderId="14" xfId="1" applyFont="1" applyFill="1" applyBorder="1" applyAlignment="1">
      <alignment horizontal="left" vertical="center"/>
    </xf>
    <xf numFmtId="164" fontId="12" fillId="0" borderId="14" xfId="1" applyNumberFormat="1" applyFont="1" applyFill="1" applyBorder="1" applyAlignment="1">
      <alignment horizontal="center" vertical="center"/>
    </xf>
    <xf numFmtId="0" fontId="13" fillId="0" borderId="15" xfId="0" applyFont="1" applyBorder="1" applyAlignment="1">
      <alignment vertical="center"/>
    </xf>
    <xf numFmtId="0" fontId="14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left" vertical="center"/>
    </xf>
    <xf numFmtId="0" fontId="15" fillId="0" borderId="17" xfId="0" applyFont="1" applyBorder="1"/>
    <xf numFmtId="0" fontId="15" fillId="0" borderId="17" xfId="0" applyFont="1" applyBorder="1" applyAlignment="1">
      <alignment horizontal="center"/>
    </xf>
    <xf numFmtId="43" fontId="14" fillId="0" borderId="17" xfId="1" applyFont="1" applyFill="1" applyBorder="1" applyAlignment="1">
      <alignment horizontal="center"/>
    </xf>
    <xf numFmtId="43" fontId="14" fillId="0" borderId="17" xfId="1" applyFont="1" applyFill="1" applyBorder="1" applyAlignment="1"/>
    <xf numFmtId="43" fontId="14" fillId="0" borderId="17" xfId="1" applyFont="1" applyFill="1" applyBorder="1"/>
    <xf numFmtId="43" fontId="15" fillId="0" borderId="17" xfId="1" applyFont="1" applyFill="1" applyBorder="1" applyAlignment="1">
      <alignment horizontal="center"/>
    </xf>
    <xf numFmtId="0" fontId="14" fillId="0" borderId="18" xfId="0" applyFont="1" applyBorder="1"/>
    <xf numFmtId="0" fontId="1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right" vertical="center"/>
    </xf>
    <xf numFmtId="0" fontId="17" fillId="0" borderId="1" xfId="0" applyFont="1" applyBorder="1"/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0" fontId="19" fillId="0" borderId="1" xfId="0" applyFont="1" applyBorder="1"/>
    <xf numFmtId="0" fontId="14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/>
    <xf numFmtId="0" fontId="0" fillId="0" borderId="0" xfId="0" applyAlignment="1">
      <alignment horizontal="center"/>
    </xf>
    <xf numFmtId="43" fontId="0" fillId="0" borderId="0" xfId="1" applyFont="1"/>
    <xf numFmtId="43" fontId="8" fillId="0" borderId="3" xfId="1" applyFont="1" applyBorder="1" applyAlignment="1">
      <alignment horizontal="center" vertical="center"/>
    </xf>
    <xf numFmtId="0" fontId="26" fillId="0" borderId="26" xfId="0" applyFont="1" applyBorder="1" applyAlignment="1">
      <alignment vertical="center"/>
    </xf>
    <xf numFmtId="0" fontId="26" fillId="0" borderId="15" xfId="0" applyFont="1" applyBorder="1" applyAlignment="1">
      <alignment vertical="center"/>
    </xf>
    <xf numFmtId="0" fontId="26" fillId="0" borderId="18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3" fontId="9" fillId="0" borderId="6" xfId="1" applyFont="1" applyBorder="1" applyAlignment="1">
      <alignment horizontal="center" vertical="center"/>
    </xf>
    <xf numFmtId="43" fontId="28" fillId="0" borderId="6" xfId="1" applyFont="1" applyBorder="1" applyAlignment="1">
      <alignment horizontal="center" vertical="center"/>
    </xf>
    <xf numFmtId="0" fontId="9" fillId="0" borderId="6" xfId="1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2" fontId="7" fillId="0" borderId="7" xfId="1" applyNumberFormat="1" applyFont="1" applyFill="1" applyBorder="1" applyAlignment="1">
      <alignment horizontal="center" vertical="center"/>
    </xf>
    <xf numFmtId="2" fontId="7" fillId="0" borderId="6" xfId="1" applyNumberFormat="1" applyFont="1" applyFill="1" applyBorder="1" applyAlignment="1">
      <alignment horizontal="center" vertical="center"/>
    </xf>
    <xf numFmtId="2" fontId="7" fillId="0" borderId="8" xfId="1" applyNumberFormat="1" applyFont="1" applyFill="1" applyBorder="1" applyAlignment="1">
      <alignment vertical="center"/>
    </xf>
    <xf numFmtId="0" fontId="5" fillId="0" borderId="6" xfId="1" applyNumberFormat="1" applyFont="1" applyBorder="1" applyAlignment="1">
      <alignment horizontal="center" vertical="center"/>
    </xf>
    <xf numFmtId="2" fontId="6" fillId="0" borderId="10" xfId="0" applyNumberFormat="1" applyFont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2" fontId="7" fillId="0" borderId="6" xfId="1" applyNumberFormat="1" applyFont="1" applyBorder="1" applyAlignment="1">
      <alignment vertical="center"/>
    </xf>
    <xf numFmtId="2" fontId="6" fillId="0" borderId="6" xfId="1" applyNumberFormat="1" applyFont="1" applyBorder="1" applyAlignment="1">
      <alignment vertical="center"/>
    </xf>
    <xf numFmtId="0" fontId="30" fillId="0" borderId="7" xfId="0" applyFont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2" fontId="6" fillId="0" borderId="12" xfId="0" applyNumberFormat="1" applyFont="1" applyBorder="1" applyAlignment="1">
      <alignment vertical="center"/>
    </xf>
    <xf numFmtId="164" fontId="16" fillId="0" borderId="17" xfId="1" applyNumberFormat="1" applyFont="1" applyFill="1" applyBorder="1" applyAlignment="1">
      <alignment horizontal="center" vertical="center"/>
    </xf>
    <xf numFmtId="2" fontId="5" fillId="0" borderId="6" xfId="1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2" fontId="32" fillId="0" borderId="6" xfId="0" applyNumberFormat="1" applyFont="1" applyBorder="1" applyAlignment="1">
      <alignment horizontal="center" vertical="center"/>
    </xf>
    <xf numFmtId="0" fontId="34" fillId="0" borderId="7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2" fontId="32" fillId="0" borderId="7" xfId="0" applyNumberFormat="1" applyFont="1" applyBorder="1" applyAlignment="1">
      <alignment horizontal="center" vertical="center"/>
    </xf>
    <xf numFmtId="2" fontId="7" fillId="0" borderId="8" xfId="1" applyNumberFormat="1" applyFont="1" applyFill="1" applyBorder="1" applyAlignment="1">
      <alignment horizontal="center" vertical="center"/>
    </xf>
    <xf numFmtId="2" fontId="38" fillId="0" borderId="7" xfId="1" applyNumberFormat="1" applyFont="1" applyFill="1" applyBorder="1" applyAlignment="1">
      <alignment horizontal="center" vertical="center"/>
    </xf>
    <xf numFmtId="2" fontId="38" fillId="0" borderId="6" xfId="1" applyNumberFormat="1" applyFont="1" applyFill="1" applyBorder="1" applyAlignment="1">
      <alignment horizontal="center" vertical="center"/>
    </xf>
    <xf numFmtId="2" fontId="38" fillId="0" borderId="6" xfId="1" applyNumberFormat="1" applyFont="1" applyBorder="1" applyAlignment="1">
      <alignment vertical="center"/>
    </xf>
    <xf numFmtId="2" fontId="35" fillId="0" borderId="6" xfId="1" applyNumberFormat="1" applyFont="1" applyBorder="1" applyAlignment="1">
      <alignment horizontal="center" vertical="center"/>
    </xf>
    <xf numFmtId="43" fontId="8" fillId="0" borderId="3" xfId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43" fontId="8" fillId="0" borderId="19" xfId="1" applyFont="1" applyBorder="1" applyAlignment="1">
      <alignment horizontal="center" vertical="center"/>
    </xf>
    <xf numFmtId="43" fontId="8" fillId="0" borderId="3" xfId="1" applyFont="1" applyBorder="1" applyAlignment="1">
      <alignment horizontal="center" vertical="center"/>
    </xf>
    <xf numFmtId="43" fontId="8" fillId="0" borderId="21" xfId="1" applyFont="1" applyBorder="1" applyAlignment="1">
      <alignment horizontal="center" vertical="center"/>
    </xf>
    <xf numFmtId="43" fontId="8" fillId="0" borderId="22" xfId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6" fillId="0" borderId="13" xfId="0" applyFont="1" applyBorder="1" applyAlignment="1">
      <alignment vertical="center"/>
    </xf>
    <xf numFmtId="0" fontId="26" fillId="0" borderId="14" xfId="0" applyFont="1" applyBorder="1" applyAlignment="1">
      <alignment vertical="center"/>
    </xf>
    <xf numFmtId="0" fontId="26" fillId="0" borderId="14" xfId="0" applyFont="1" applyBorder="1" applyAlignment="1">
      <alignment horizontal="center" vertical="center"/>
    </xf>
    <xf numFmtId="0" fontId="26" fillId="0" borderId="14" xfId="0" applyFont="1" applyBorder="1" applyAlignment="1">
      <alignment horizontal="right" vertical="center"/>
    </xf>
    <xf numFmtId="0" fontId="26" fillId="0" borderId="14" xfId="0" applyFont="1" applyBorder="1" applyAlignment="1">
      <alignment horizontal="right" vertical="center" wrapText="1"/>
    </xf>
    <xf numFmtId="0" fontId="26" fillId="0" borderId="16" xfId="0" applyFont="1" applyBorder="1" applyAlignment="1">
      <alignment horizontal="right" vertical="top" wrapText="1"/>
    </xf>
    <xf numFmtId="0" fontId="26" fillId="0" borderId="17" xfId="0" applyFont="1" applyBorder="1" applyAlignment="1">
      <alignment horizontal="right" vertical="top" wrapText="1"/>
    </xf>
    <xf numFmtId="0" fontId="8" fillId="0" borderId="2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5" xfId="0" applyFont="1" applyBorder="1" applyAlignment="1">
      <alignment horizontal="center"/>
    </xf>
    <xf numFmtId="43" fontId="4" fillId="0" borderId="30" xfId="1" applyFont="1" applyBorder="1" applyAlignment="1">
      <alignment horizontal="center"/>
    </xf>
    <xf numFmtId="43" fontId="4" fillId="0" borderId="31" xfId="1" applyFont="1" applyBorder="1" applyAlignment="1">
      <alignment horizontal="center"/>
    </xf>
    <xf numFmtId="43" fontId="4" fillId="0" borderId="32" xfId="1" applyFont="1" applyBorder="1" applyAlignment="1">
      <alignment horizontal="center"/>
    </xf>
    <xf numFmtId="43" fontId="4" fillId="0" borderId="33" xfId="1" applyFont="1" applyBorder="1" applyAlignment="1">
      <alignment horizontal="center"/>
    </xf>
    <xf numFmtId="43" fontId="4" fillId="0" borderId="34" xfId="1" applyFont="1" applyBorder="1" applyAlignment="1">
      <alignment horizontal="center"/>
    </xf>
    <xf numFmtId="43" fontId="4" fillId="0" borderId="36" xfId="1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43" fontId="4" fillId="0" borderId="0" xfId="1" applyFont="1" applyBorder="1" applyAlignment="1">
      <alignment horizontal="center"/>
    </xf>
    <xf numFmtId="43" fontId="4" fillId="0" borderId="35" xfId="1" applyFont="1" applyBorder="1" applyAlignment="1">
      <alignment horizontal="center"/>
    </xf>
    <xf numFmtId="0" fontId="26" fillId="0" borderId="24" xfId="0" applyFont="1" applyBorder="1" applyAlignment="1">
      <alignment horizontal="right" vertical="center" wrapText="1"/>
    </xf>
    <xf numFmtId="0" fontId="26" fillId="0" borderId="25" xfId="0" applyFont="1" applyBorder="1" applyAlignment="1">
      <alignment horizontal="right" vertical="center"/>
    </xf>
    <xf numFmtId="0" fontId="39" fillId="0" borderId="27" xfId="0" applyFont="1" applyBorder="1" applyAlignment="1">
      <alignment horizontal="center" vertical="center"/>
    </xf>
    <xf numFmtId="0" fontId="39" fillId="0" borderId="28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2" fontId="38" fillId="0" borderId="6" xfId="0" applyNumberFormat="1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2" fontId="41" fillId="0" borderId="6" xfId="0" applyNumberFormat="1" applyFont="1" applyBorder="1" applyAlignment="1">
      <alignment horizontal="center" vertical="center"/>
    </xf>
    <xf numFmtId="2" fontId="41" fillId="0" borderId="7" xfId="1" applyNumberFormat="1" applyFont="1" applyFill="1" applyBorder="1" applyAlignment="1">
      <alignment horizontal="center" vertical="center"/>
    </xf>
    <xf numFmtId="2" fontId="41" fillId="0" borderId="6" xfId="1" applyNumberFormat="1" applyFont="1" applyFill="1" applyBorder="1" applyAlignment="1">
      <alignment horizontal="center" vertical="center"/>
    </xf>
    <xf numFmtId="2" fontId="41" fillId="0" borderId="8" xfId="1" applyNumberFormat="1" applyFont="1" applyFill="1" applyBorder="1" applyAlignment="1">
      <alignment vertical="center"/>
    </xf>
    <xf numFmtId="2" fontId="41" fillId="0" borderId="6" xfId="1" applyNumberFormat="1" applyFont="1" applyBorder="1" applyAlignment="1">
      <alignment vertical="center"/>
    </xf>
    <xf numFmtId="2" fontId="30" fillId="0" borderId="6" xfId="1" applyNumberFormat="1" applyFont="1" applyBorder="1" applyAlignment="1">
      <alignment horizontal="center" vertical="center"/>
    </xf>
    <xf numFmtId="2" fontId="41" fillId="0" borderId="10" xfId="0" applyNumberFormat="1" applyFont="1" applyBorder="1" applyAlignment="1">
      <alignment vertical="center"/>
    </xf>
    <xf numFmtId="0" fontId="41" fillId="0" borderId="9" xfId="0" applyFont="1" applyBorder="1" applyAlignment="1">
      <alignment horizontal="center" vertical="center"/>
    </xf>
    <xf numFmtId="2" fontId="41" fillId="0" borderId="9" xfId="0" applyNumberFormat="1" applyFont="1" applyBorder="1" applyAlignment="1">
      <alignment horizontal="center" vertical="center"/>
    </xf>
    <xf numFmtId="2" fontId="41" fillId="0" borderId="12" xfId="0" applyNumberFormat="1" applyFont="1" applyBorder="1" applyAlignment="1">
      <alignment vertical="center"/>
    </xf>
    <xf numFmtId="0" fontId="43" fillId="0" borderId="7" xfId="0" applyFont="1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2" fontId="7" fillId="0" borderId="27" xfId="0" applyNumberFormat="1" applyFont="1" applyBorder="1" applyAlignment="1">
      <alignment horizontal="center" vertical="center"/>
    </xf>
    <xf numFmtId="2" fontId="7" fillId="0" borderId="28" xfId="0" applyNumberFormat="1" applyFont="1" applyBorder="1" applyAlignment="1">
      <alignment horizontal="center" vertical="center"/>
    </xf>
    <xf numFmtId="2" fontId="7" fillId="0" borderId="29" xfId="0" applyNumberFormat="1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2" fontId="38" fillId="0" borderId="8" xfId="1" applyNumberFormat="1" applyFont="1" applyFill="1" applyBorder="1" applyAlignment="1">
      <alignment horizontal="center" vertical="center"/>
    </xf>
  </cellXfs>
  <cellStyles count="20">
    <cellStyle name="Comma" xfId="1" builtinId="3"/>
    <cellStyle name="Comma 2" xfId="17" xr:uid="{00000000-0005-0000-0000-000001000000}"/>
    <cellStyle name="Comma 3" xfId="15" xr:uid="{00000000-0005-0000-0000-000002000000}"/>
    <cellStyle name="Comma 4" xfId="12" xr:uid="{00000000-0005-0000-0000-000003000000}"/>
    <cellStyle name="Normal" xfId="0" builtinId="0"/>
    <cellStyle name="Normal 2" xfId="2" xr:uid="{00000000-0005-0000-0000-000005000000}"/>
    <cellStyle name="Normal 2 2" xfId="8" xr:uid="{00000000-0005-0000-0000-000006000000}"/>
    <cellStyle name="Normal 2 2 2" xfId="7" xr:uid="{00000000-0005-0000-0000-000007000000}"/>
    <cellStyle name="Normal 3" xfId="4" xr:uid="{00000000-0005-0000-0000-000008000000}"/>
    <cellStyle name="Normal 3 2 2" xfId="10" xr:uid="{00000000-0005-0000-0000-000009000000}"/>
    <cellStyle name="Normal 4" xfId="5" xr:uid="{00000000-0005-0000-0000-00000A000000}"/>
    <cellStyle name="Normal 4 2 2" xfId="9" xr:uid="{00000000-0005-0000-0000-00000B000000}"/>
    <cellStyle name="Normal 5" xfId="14" xr:uid="{00000000-0005-0000-0000-00000C000000}"/>
    <cellStyle name="Normal 6" xfId="3" xr:uid="{00000000-0005-0000-0000-00000D000000}"/>
    <cellStyle name="Normal 7" xfId="19" xr:uid="{00000000-0005-0000-0000-00000E000000}"/>
    <cellStyle name="Percent 2" xfId="13" xr:uid="{00000000-0005-0000-0000-00000F000000}"/>
    <cellStyle name="Percent 2 2 2" xfId="11" xr:uid="{00000000-0005-0000-0000-000010000000}"/>
    <cellStyle name="عادي 2" xfId="6" xr:uid="{00000000-0005-0000-0000-000011000000}"/>
    <cellStyle name="عادي 3" xfId="16" xr:uid="{00000000-0005-0000-0000-000012000000}"/>
    <cellStyle name="عادي 4" xfId="18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81646</xdr:colOff>
      <xdr:row>0</xdr:row>
      <xdr:rowOff>69206</xdr:rowOff>
    </xdr:from>
    <xdr:to>
      <xdr:col>10</xdr:col>
      <xdr:colOff>1295403</xdr:colOff>
      <xdr:row>6</xdr:row>
      <xdr:rowOff>98571</xdr:rowOff>
    </xdr:to>
    <xdr:pic>
      <xdr:nvPicPr>
        <xdr:cNvPr id="2" name="صورة 2">
          <a:extLst>
            <a:ext uri="{FF2B5EF4-FFF2-40B4-BE49-F238E27FC236}">
              <a16:creationId xmlns:a16="http://schemas.microsoft.com/office/drawing/2014/main" id="{5192476E-AD18-4C12-8879-CC1B93B371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505"/>
        <a:stretch/>
      </xdr:blipFill>
      <xdr:spPr>
        <a:xfrm>
          <a:off x="5644246" y="69206"/>
          <a:ext cx="1985282" cy="88661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0</xdr:row>
          <xdr:rowOff>28575</xdr:rowOff>
        </xdr:from>
        <xdr:to>
          <xdr:col>8</xdr:col>
          <xdr:colOff>409575</xdr:colOff>
          <xdr:row>5</xdr:row>
          <xdr:rowOff>114300</xdr:rowOff>
        </xdr:to>
        <xdr:sp macro="" textlink="">
          <xdr:nvSpPr>
            <xdr:cNvPr id="142337" name="Object 1" hidden="1">
              <a:extLst>
                <a:ext uri="{63B3BB69-23CF-44E3-9099-C40C66FF867C}">
                  <a14:compatExt spid="_x0000_s142337"/>
                </a:ext>
                <a:ext uri="{FF2B5EF4-FFF2-40B4-BE49-F238E27FC236}">
                  <a16:creationId xmlns:a16="http://schemas.microsoft.com/office/drawing/2014/main" id="{495E3074-2D7D-40D8-960D-53FB571875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112059</xdr:colOff>
      <xdr:row>0</xdr:row>
      <xdr:rowOff>90488</xdr:rowOff>
    </xdr:from>
    <xdr:to>
      <xdr:col>6</xdr:col>
      <xdr:colOff>529817</xdr:colOff>
      <xdr:row>6</xdr:row>
      <xdr:rowOff>95249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17A096-000A-41F1-9269-A69ABC62F2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443" r="2690" b="12637"/>
        <a:stretch/>
      </xdr:blipFill>
      <xdr:spPr>
        <a:xfrm>
          <a:off x="2188509" y="90488"/>
          <a:ext cx="2370383" cy="862011"/>
        </a:xfrm>
        <a:prstGeom prst="rect">
          <a:avLst/>
        </a:prstGeom>
      </xdr:spPr>
    </xdr:pic>
    <xdr:clientData/>
  </xdr:twoCellAnchor>
  <xdr:twoCellAnchor editAs="oneCell">
    <xdr:from>
      <xdr:col>0</xdr:col>
      <xdr:colOff>87087</xdr:colOff>
      <xdr:row>0</xdr:row>
      <xdr:rowOff>48988</xdr:rowOff>
    </xdr:from>
    <xdr:to>
      <xdr:col>1</xdr:col>
      <xdr:colOff>1725387</xdr:colOff>
      <xdr:row>6</xdr:row>
      <xdr:rowOff>85540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2D65E7-3EF1-4AF5-A213-9035DFAF5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087" y="48988"/>
          <a:ext cx="1952625" cy="893802"/>
        </a:xfrm>
        <a:prstGeom prst="rect">
          <a:avLst/>
        </a:prstGeom>
      </xdr:spPr>
    </xdr:pic>
    <xdr:clientData/>
  </xdr:twoCellAnchor>
  <xdr:twoCellAnchor>
    <xdr:from>
      <xdr:col>1</xdr:col>
      <xdr:colOff>1744265</xdr:colOff>
      <xdr:row>0</xdr:row>
      <xdr:rowOff>0</xdr:rowOff>
    </xdr:from>
    <xdr:to>
      <xdr:col>4</xdr:col>
      <xdr:colOff>148827</xdr:colOff>
      <xdr:row>1</xdr:row>
      <xdr:rowOff>65484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2CC9974-2548-4D90-9814-E84DB1BECF5A}"/>
            </a:ext>
          </a:extLst>
        </xdr:cNvPr>
        <xdr:cNvSpPr txBox="1"/>
      </xdr:nvSpPr>
      <xdr:spPr>
        <a:xfrm>
          <a:off x="2058590" y="0"/>
          <a:ext cx="938212" cy="2083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CONSULTANT</a:t>
          </a:r>
        </a:p>
        <a:p>
          <a:endParaRPr lang="en-US" sz="1100"/>
        </a:p>
      </xdr:txBody>
    </xdr:sp>
    <xdr:clientData/>
  </xdr:twoCellAnchor>
  <xdr:twoCellAnchor>
    <xdr:from>
      <xdr:col>6</xdr:col>
      <xdr:colOff>610790</xdr:colOff>
      <xdr:row>5</xdr:row>
      <xdr:rowOff>77389</xdr:rowOff>
    </xdr:from>
    <xdr:to>
      <xdr:col>9</xdr:col>
      <xdr:colOff>105104</xdr:colOff>
      <xdr:row>7</xdr:row>
      <xdr:rowOff>41670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EA71AFE-F213-4EA5-B165-20F898E0C2B9}"/>
            </a:ext>
          </a:extLst>
        </xdr:cNvPr>
        <xdr:cNvSpPr txBox="1"/>
      </xdr:nvSpPr>
      <xdr:spPr>
        <a:xfrm>
          <a:off x="4639865" y="791764"/>
          <a:ext cx="1027839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MINISTRY OF</a:t>
          </a:r>
          <a:r>
            <a:rPr lang="ar-EG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ENVIRONMENT</a:t>
          </a:r>
          <a:r>
            <a:rPr lang="ar-EG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,WATER &amp;AGRICULTURE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81646</xdr:colOff>
      <xdr:row>0</xdr:row>
      <xdr:rowOff>69206</xdr:rowOff>
    </xdr:from>
    <xdr:to>
      <xdr:col>10</xdr:col>
      <xdr:colOff>1295403</xdr:colOff>
      <xdr:row>6</xdr:row>
      <xdr:rowOff>98571</xdr:rowOff>
    </xdr:to>
    <xdr:pic>
      <xdr:nvPicPr>
        <xdr:cNvPr id="2" name="صورة 2">
          <a:extLst>
            <a:ext uri="{FF2B5EF4-FFF2-40B4-BE49-F238E27FC236}">
              <a16:creationId xmlns:a16="http://schemas.microsoft.com/office/drawing/2014/main" id="{3A2FD773-A92D-4B1F-BC52-0D4536E1D4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505"/>
        <a:stretch/>
      </xdr:blipFill>
      <xdr:spPr>
        <a:xfrm>
          <a:off x="5644246" y="69206"/>
          <a:ext cx="1985282" cy="88661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0</xdr:row>
          <xdr:rowOff>28575</xdr:rowOff>
        </xdr:from>
        <xdr:to>
          <xdr:col>8</xdr:col>
          <xdr:colOff>409575</xdr:colOff>
          <xdr:row>5</xdr:row>
          <xdr:rowOff>114300</xdr:rowOff>
        </xdr:to>
        <xdr:sp macro="" textlink="">
          <xdr:nvSpPr>
            <xdr:cNvPr id="141313" name="Object 1" hidden="1">
              <a:extLst>
                <a:ext uri="{63B3BB69-23CF-44E3-9099-C40C66FF867C}">
                  <a14:compatExt spid="_x0000_s141313"/>
                </a:ext>
                <a:ext uri="{FF2B5EF4-FFF2-40B4-BE49-F238E27FC236}">
                  <a16:creationId xmlns:a16="http://schemas.microsoft.com/office/drawing/2014/main" id="{28417043-1A4C-447F-9601-B20C473E7C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112059</xdr:colOff>
      <xdr:row>0</xdr:row>
      <xdr:rowOff>90488</xdr:rowOff>
    </xdr:from>
    <xdr:to>
      <xdr:col>6</xdr:col>
      <xdr:colOff>529817</xdr:colOff>
      <xdr:row>6</xdr:row>
      <xdr:rowOff>95249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D83987-E279-4E57-BA06-00ACCA19AF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443" r="2690" b="12637"/>
        <a:stretch/>
      </xdr:blipFill>
      <xdr:spPr>
        <a:xfrm>
          <a:off x="2188509" y="90488"/>
          <a:ext cx="2370383" cy="862011"/>
        </a:xfrm>
        <a:prstGeom prst="rect">
          <a:avLst/>
        </a:prstGeom>
      </xdr:spPr>
    </xdr:pic>
    <xdr:clientData/>
  </xdr:twoCellAnchor>
  <xdr:twoCellAnchor editAs="oneCell">
    <xdr:from>
      <xdr:col>0</xdr:col>
      <xdr:colOff>87087</xdr:colOff>
      <xdr:row>0</xdr:row>
      <xdr:rowOff>48988</xdr:rowOff>
    </xdr:from>
    <xdr:to>
      <xdr:col>1</xdr:col>
      <xdr:colOff>1725387</xdr:colOff>
      <xdr:row>6</xdr:row>
      <xdr:rowOff>85540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54D05A2-1D56-42D4-A119-06704B342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087" y="48988"/>
          <a:ext cx="1952625" cy="893802"/>
        </a:xfrm>
        <a:prstGeom prst="rect">
          <a:avLst/>
        </a:prstGeom>
      </xdr:spPr>
    </xdr:pic>
    <xdr:clientData/>
  </xdr:twoCellAnchor>
  <xdr:twoCellAnchor>
    <xdr:from>
      <xdr:col>1</xdr:col>
      <xdr:colOff>1744265</xdr:colOff>
      <xdr:row>0</xdr:row>
      <xdr:rowOff>0</xdr:rowOff>
    </xdr:from>
    <xdr:to>
      <xdr:col>4</xdr:col>
      <xdr:colOff>148827</xdr:colOff>
      <xdr:row>1</xdr:row>
      <xdr:rowOff>65484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2AD7C0C-1F11-495C-B3BC-C5DE8995779D}"/>
            </a:ext>
          </a:extLst>
        </xdr:cNvPr>
        <xdr:cNvSpPr txBox="1"/>
      </xdr:nvSpPr>
      <xdr:spPr>
        <a:xfrm>
          <a:off x="2058590" y="0"/>
          <a:ext cx="938212" cy="2083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CONSULTANT</a:t>
          </a:r>
        </a:p>
        <a:p>
          <a:endParaRPr lang="en-US" sz="1100"/>
        </a:p>
      </xdr:txBody>
    </xdr:sp>
    <xdr:clientData/>
  </xdr:twoCellAnchor>
  <xdr:twoCellAnchor>
    <xdr:from>
      <xdr:col>6</xdr:col>
      <xdr:colOff>610790</xdr:colOff>
      <xdr:row>5</xdr:row>
      <xdr:rowOff>77389</xdr:rowOff>
    </xdr:from>
    <xdr:to>
      <xdr:col>9</xdr:col>
      <xdr:colOff>105104</xdr:colOff>
      <xdr:row>7</xdr:row>
      <xdr:rowOff>41670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500F80C-E4AC-497E-B8BD-4D6F4C3C5949}"/>
            </a:ext>
          </a:extLst>
        </xdr:cNvPr>
        <xdr:cNvSpPr txBox="1"/>
      </xdr:nvSpPr>
      <xdr:spPr>
        <a:xfrm>
          <a:off x="4639865" y="791764"/>
          <a:ext cx="1027839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MINISTRY OF</a:t>
          </a:r>
          <a:r>
            <a:rPr lang="ar-EG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ENVIRONMENT</a:t>
          </a:r>
          <a:r>
            <a:rPr lang="ar-EG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,WATER &amp;AGRICULTURE</a:t>
          </a: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81646</xdr:colOff>
      <xdr:row>0</xdr:row>
      <xdr:rowOff>69206</xdr:rowOff>
    </xdr:from>
    <xdr:to>
      <xdr:col>10</xdr:col>
      <xdr:colOff>1295403</xdr:colOff>
      <xdr:row>6</xdr:row>
      <xdr:rowOff>98571</xdr:rowOff>
    </xdr:to>
    <xdr:pic>
      <xdr:nvPicPr>
        <xdr:cNvPr id="2" name="صورة 2">
          <a:extLst>
            <a:ext uri="{FF2B5EF4-FFF2-40B4-BE49-F238E27FC236}">
              <a16:creationId xmlns:a16="http://schemas.microsoft.com/office/drawing/2014/main" id="{949585BB-AD4E-4032-94EF-457A7CD416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505"/>
        <a:stretch/>
      </xdr:blipFill>
      <xdr:spPr>
        <a:xfrm>
          <a:off x="5644246" y="69206"/>
          <a:ext cx="1985282" cy="88661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0</xdr:row>
          <xdr:rowOff>28575</xdr:rowOff>
        </xdr:from>
        <xdr:to>
          <xdr:col>8</xdr:col>
          <xdr:colOff>409575</xdr:colOff>
          <xdr:row>5</xdr:row>
          <xdr:rowOff>114300</xdr:rowOff>
        </xdr:to>
        <xdr:sp macro="" textlink="">
          <xdr:nvSpPr>
            <xdr:cNvPr id="140289" name="Object 1" hidden="1">
              <a:extLst>
                <a:ext uri="{63B3BB69-23CF-44E3-9099-C40C66FF867C}">
                  <a14:compatExt spid="_x0000_s140289"/>
                </a:ext>
                <a:ext uri="{FF2B5EF4-FFF2-40B4-BE49-F238E27FC236}">
                  <a16:creationId xmlns:a16="http://schemas.microsoft.com/office/drawing/2014/main" id="{413EBCB1-C989-4BA6-8470-6FC0F6DB24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112059</xdr:colOff>
      <xdr:row>0</xdr:row>
      <xdr:rowOff>90488</xdr:rowOff>
    </xdr:from>
    <xdr:to>
      <xdr:col>6</xdr:col>
      <xdr:colOff>529817</xdr:colOff>
      <xdr:row>6</xdr:row>
      <xdr:rowOff>95249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3C1D5B-C5CC-4136-AD1D-BF9F9C8AD1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443" r="2690" b="12637"/>
        <a:stretch/>
      </xdr:blipFill>
      <xdr:spPr>
        <a:xfrm>
          <a:off x="2188509" y="90488"/>
          <a:ext cx="2370383" cy="862011"/>
        </a:xfrm>
        <a:prstGeom prst="rect">
          <a:avLst/>
        </a:prstGeom>
      </xdr:spPr>
    </xdr:pic>
    <xdr:clientData/>
  </xdr:twoCellAnchor>
  <xdr:twoCellAnchor editAs="oneCell">
    <xdr:from>
      <xdr:col>0</xdr:col>
      <xdr:colOff>87087</xdr:colOff>
      <xdr:row>0</xdr:row>
      <xdr:rowOff>48988</xdr:rowOff>
    </xdr:from>
    <xdr:to>
      <xdr:col>1</xdr:col>
      <xdr:colOff>1725387</xdr:colOff>
      <xdr:row>6</xdr:row>
      <xdr:rowOff>85540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9D69E6-FCCC-45D0-8BBD-16CD444D2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087" y="48988"/>
          <a:ext cx="1952625" cy="893802"/>
        </a:xfrm>
        <a:prstGeom prst="rect">
          <a:avLst/>
        </a:prstGeom>
      </xdr:spPr>
    </xdr:pic>
    <xdr:clientData/>
  </xdr:twoCellAnchor>
  <xdr:twoCellAnchor>
    <xdr:from>
      <xdr:col>1</xdr:col>
      <xdr:colOff>1744265</xdr:colOff>
      <xdr:row>0</xdr:row>
      <xdr:rowOff>0</xdr:rowOff>
    </xdr:from>
    <xdr:to>
      <xdr:col>4</xdr:col>
      <xdr:colOff>148827</xdr:colOff>
      <xdr:row>1</xdr:row>
      <xdr:rowOff>65484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FFF42D9-8E17-48DD-9958-A3AFC918FF7A}"/>
            </a:ext>
          </a:extLst>
        </xdr:cNvPr>
        <xdr:cNvSpPr txBox="1"/>
      </xdr:nvSpPr>
      <xdr:spPr>
        <a:xfrm>
          <a:off x="2058590" y="0"/>
          <a:ext cx="938212" cy="2083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CONSULTANT</a:t>
          </a:r>
        </a:p>
        <a:p>
          <a:endParaRPr lang="en-US" sz="1100"/>
        </a:p>
      </xdr:txBody>
    </xdr:sp>
    <xdr:clientData/>
  </xdr:twoCellAnchor>
  <xdr:twoCellAnchor>
    <xdr:from>
      <xdr:col>6</xdr:col>
      <xdr:colOff>610790</xdr:colOff>
      <xdr:row>5</xdr:row>
      <xdr:rowOff>77389</xdr:rowOff>
    </xdr:from>
    <xdr:to>
      <xdr:col>9</xdr:col>
      <xdr:colOff>105104</xdr:colOff>
      <xdr:row>7</xdr:row>
      <xdr:rowOff>41670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9523998-C0F1-4E86-B0FE-804DB40D4833}"/>
            </a:ext>
          </a:extLst>
        </xdr:cNvPr>
        <xdr:cNvSpPr txBox="1"/>
      </xdr:nvSpPr>
      <xdr:spPr>
        <a:xfrm>
          <a:off x="4639865" y="791764"/>
          <a:ext cx="1027839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MINISTRY OF</a:t>
          </a:r>
          <a:r>
            <a:rPr lang="ar-EG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ENVIRONMENT</a:t>
          </a:r>
          <a:r>
            <a:rPr lang="ar-EG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,WATER &amp;AGRICULTURE</a:t>
          </a:r>
        </a:p>
        <a:p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81646</xdr:colOff>
      <xdr:row>0</xdr:row>
      <xdr:rowOff>69206</xdr:rowOff>
    </xdr:from>
    <xdr:to>
      <xdr:col>10</xdr:col>
      <xdr:colOff>1295403</xdr:colOff>
      <xdr:row>6</xdr:row>
      <xdr:rowOff>98571</xdr:rowOff>
    </xdr:to>
    <xdr:pic>
      <xdr:nvPicPr>
        <xdr:cNvPr id="2" name="صورة 2">
          <a:extLst>
            <a:ext uri="{FF2B5EF4-FFF2-40B4-BE49-F238E27FC236}">
              <a16:creationId xmlns:a16="http://schemas.microsoft.com/office/drawing/2014/main" id="{2148A024-2950-4165-9201-97D9A2BDE9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505"/>
        <a:stretch/>
      </xdr:blipFill>
      <xdr:spPr>
        <a:xfrm>
          <a:off x="5644246" y="69206"/>
          <a:ext cx="1985282" cy="88661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0</xdr:row>
          <xdr:rowOff>28575</xdr:rowOff>
        </xdr:from>
        <xdr:to>
          <xdr:col>8</xdr:col>
          <xdr:colOff>409575</xdr:colOff>
          <xdr:row>5</xdr:row>
          <xdr:rowOff>114300</xdr:rowOff>
        </xdr:to>
        <xdr:sp macro="" textlink="">
          <xdr:nvSpPr>
            <xdr:cNvPr id="139265" name="Object 1" hidden="1">
              <a:extLst>
                <a:ext uri="{63B3BB69-23CF-44E3-9099-C40C66FF867C}">
                  <a14:compatExt spid="_x0000_s139265"/>
                </a:ext>
                <a:ext uri="{FF2B5EF4-FFF2-40B4-BE49-F238E27FC236}">
                  <a16:creationId xmlns:a16="http://schemas.microsoft.com/office/drawing/2014/main" id="{D1348EE9-58B8-4488-BB1F-C9F41EC820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112059</xdr:colOff>
      <xdr:row>0</xdr:row>
      <xdr:rowOff>90488</xdr:rowOff>
    </xdr:from>
    <xdr:to>
      <xdr:col>6</xdr:col>
      <xdr:colOff>529817</xdr:colOff>
      <xdr:row>6</xdr:row>
      <xdr:rowOff>95249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6A1DA7-50C2-488A-923F-F2290FFF0A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443" r="2690" b="12637"/>
        <a:stretch/>
      </xdr:blipFill>
      <xdr:spPr>
        <a:xfrm>
          <a:off x="2188509" y="90488"/>
          <a:ext cx="2370383" cy="862011"/>
        </a:xfrm>
        <a:prstGeom prst="rect">
          <a:avLst/>
        </a:prstGeom>
      </xdr:spPr>
    </xdr:pic>
    <xdr:clientData/>
  </xdr:twoCellAnchor>
  <xdr:twoCellAnchor editAs="oneCell">
    <xdr:from>
      <xdr:col>0</xdr:col>
      <xdr:colOff>87087</xdr:colOff>
      <xdr:row>0</xdr:row>
      <xdr:rowOff>48988</xdr:rowOff>
    </xdr:from>
    <xdr:to>
      <xdr:col>1</xdr:col>
      <xdr:colOff>1725387</xdr:colOff>
      <xdr:row>6</xdr:row>
      <xdr:rowOff>85540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F18847F-A744-4344-871A-D60907E5B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087" y="48988"/>
          <a:ext cx="1952625" cy="893802"/>
        </a:xfrm>
        <a:prstGeom prst="rect">
          <a:avLst/>
        </a:prstGeom>
      </xdr:spPr>
    </xdr:pic>
    <xdr:clientData/>
  </xdr:twoCellAnchor>
  <xdr:twoCellAnchor>
    <xdr:from>
      <xdr:col>1</xdr:col>
      <xdr:colOff>1744265</xdr:colOff>
      <xdr:row>0</xdr:row>
      <xdr:rowOff>0</xdr:rowOff>
    </xdr:from>
    <xdr:to>
      <xdr:col>4</xdr:col>
      <xdr:colOff>148827</xdr:colOff>
      <xdr:row>1</xdr:row>
      <xdr:rowOff>65484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E574F7-7A25-45C0-940B-22C53E09512D}"/>
            </a:ext>
          </a:extLst>
        </xdr:cNvPr>
        <xdr:cNvSpPr txBox="1"/>
      </xdr:nvSpPr>
      <xdr:spPr>
        <a:xfrm>
          <a:off x="2058590" y="0"/>
          <a:ext cx="938212" cy="2083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CONSULTANT</a:t>
          </a:r>
        </a:p>
        <a:p>
          <a:endParaRPr lang="en-US" sz="1100"/>
        </a:p>
      </xdr:txBody>
    </xdr:sp>
    <xdr:clientData/>
  </xdr:twoCellAnchor>
  <xdr:twoCellAnchor>
    <xdr:from>
      <xdr:col>6</xdr:col>
      <xdr:colOff>610790</xdr:colOff>
      <xdr:row>5</xdr:row>
      <xdr:rowOff>77389</xdr:rowOff>
    </xdr:from>
    <xdr:to>
      <xdr:col>9</xdr:col>
      <xdr:colOff>105104</xdr:colOff>
      <xdr:row>7</xdr:row>
      <xdr:rowOff>41670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942B822-999A-4B1D-B36C-90E5CC78A487}"/>
            </a:ext>
          </a:extLst>
        </xdr:cNvPr>
        <xdr:cNvSpPr txBox="1"/>
      </xdr:nvSpPr>
      <xdr:spPr>
        <a:xfrm>
          <a:off x="4639865" y="791764"/>
          <a:ext cx="1027839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MINISTRY OF</a:t>
          </a:r>
          <a:r>
            <a:rPr lang="ar-EG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ENVIRONMENT</a:t>
          </a:r>
          <a:r>
            <a:rPr lang="ar-EG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,WATER &amp;AGRICULTURE</a:t>
          </a:r>
        </a:p>
        <a:p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81646</xdr:colOff>
      <xdr:row>0</xdr:row>
      <xdr:rowOff>69206</xdr:rowOff>
    </xdr:from>
    <xdr:to>
      <xdr:col>10</xdr:col>
      <xdr:colOff>1295403</xdr:colOff>
      <xdr:row>6</xdr:row>
      <xdr:rowOff>98571</xdr:rowOff>
    </xdr:to>
    <xdr:pic>
      <xdr:nvPicPr>
        <xdr:cNvPr id="2" name="صورة 2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505"/>
        <a:stretch/>
      </xdr:blipFill>
      <xdr:spPr>
        <a:xfrm>
          <a:off x="5644246" y="69206"/>
          <a:ext cx="1985282" cy="88661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0</xdr:row>
          <xdr:rowOff>28575</xdr:rowOff>
        </xdr:from>
        <xdr:to>
          <xdr:col>8</xdr:col>
          <xdr:colOff>409575</xdr:colOff>
          <xdr:row>5</xdr:row>
          <xdr:rowOff>114300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1B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112059</xdr:colOff>
      <xdr:row>0</xdr:row>
      <xdr:rowOff>90488</xdr:rowOff>
    </xdr:from>
    <xdr:to>
      <xdr:col>6</xdr:col>
      <xdr:colOff>529817</xdr:colOff>
      <xdr:row>6</xdr:row>
      <xdr:rowOff>95249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443" r="2690" b="12637"/>
        <a:stretch/>
      </xdr:blipFill>
      <xdr:spPr>
        <a:xfrm>
          <a:off x="2188509" y="90488"/>
          <a:ext cx="2370383" cy="862011"/>
        </a:xfrm>
        <a:prstGeom prst="rect">
          <a:avLst/>
        </a:prstGeom>
      </xdr:spPr>
    </xdr:pic>
    <xdr:clientData/>
  </xdr:twoCellAnchor>
  <xdr:twoCellAnchor editAs="oneCell">
    <xdr:from>
      <xdr:col>0</xdr:col>
      <xdr:colOff>87087</xdr:colOff>
      <xdr:row>0</xdr:row>
      <xdr:rowOff>48988</xdr:rowOff>
    </xdr:from>
    <xdr:to>
      <xdr:col>1</xdr:col>
      <xdr:colOff>1725387</xdr:colOff>
      <xdr:row>6</xdr:row>
      <xdr:rowOff>85540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087" y="48988"/>
          <a:ext cx="1952625" cy="893802"/>
        </a:xfrm>
        <a:prstGeom prst="rect">
          <a:avLst/>
        </a:prstGeom>
      </xdr:spPr>
    </xdr:pic>
    <xdr:clientData/>
  </xdr:twoCellAnchor>
  <xdr:twoCellAnchor>
    <xdr:from>
      <xdr:col>1</xdr:col>
      <xdr:colOff>1744265</xdr:colOff>
      <xdr:row>0</xdr:row>
      <xdr:rowOff>0</xdr:rowOff>
    </xdr:from>
    <xdr:to>
      <xdr:col>4</xdr:col>
      <xdr:colOff>148827</xdr:colOff>
      <xdr:row>1</xdr:row>
      <xdr:rowOff>65484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SpPr txBox="1"/>
      </xdr:nvSpPr>
      <xdr:spPr>
        <a:xfrm>
          <a:off x="2058590" y="0"/>
          <a:ext cx="938212" cy="2083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CONSULTANT</a:t>
          </a:r>
        </a:p>
        <a:p>
          <a:endParaRPr lang="en-US" sz="1100"/>
        </a:p>
      </xdr:txBody>
    </xdr:sp>
    <xdr:clientData/>
  </xdr:twoCellAnchor>
  <xdr:twoCellAnchor>
    <xdr:from>
      <xdr:col>6</xdr:col>
      <xdr:colOff>610790</xdr:colOff>
      <xdr:row>5</xdr:row>
      <xdr:rowOff>77389</xdr:rowOff>
    </xdr:from>
    <xdr:to>
      <xdr:col>9</xdr:col>
      <xdr:colOff>105104</xdr:colOff>
      <xdr:row>7</xdr:row>
      <xdr:rowOff>41670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SpPr txBox="1"/>
      </xdr:nvSpPr>
      <xdr:spPr>
        <a:xfrm>
          <a:off x="4639865" y="791764"/>
          <a:ext cx="1027839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MINISTRY OF</a:t>
          </a:r>
          <a:r>
            <a:rPr lang="ar-EG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ENVIRONMENT</a:t>
          </a:r>
          <a:r>
            <a:rPr lang="ar-EG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,WATER &amp;AGRICULTURE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A681-AE99-4CFD-BEA3-9B05F5345DFF}">
  <sheetPr>
    <pageSetUpPr fitToPage="1"/>
  </sheetPr>
  <dimension ref="A1:K24"/>
  <sheetViews>
    <sheetView tabSelected="1" view="pageBreakPreview" zoomScale="115" zoomScaleSheetLayoutView="115" workbookViewId="0">
      <selection activeCell="E19" sqref="E19"/>
    </sheetView>
  </sheetViews>
  <sheetFormatPr defaultRowHeight="15"/>
  <cols>
    <col min="1" max="1" width="4.7109375" customWidth="1"/>
    <col min="2" max="2" width="26.42578125" bestFit="1" customWidth="1"/>
    <col min="3" max="3" width="6" customWidth="1"/>
    <col min="4" max="4" width="5.5703125" style="37" customWidth="1"/>
    <col min="5" max="5" width="11" style="38" customWidth="1"/>
    <col min="6" max="6" width="6.7109375" style="38" customWidth="1"/>
    <col min="7" max="7" width="9.28515625" style="38" customWidth="1"/>
    <col min="8" max="8" width="6" style="38" customWidth="1"/>
    <col min="9" max="9" width="7.7109375" style="38" customWidth="1"/>
    <col min="10" max="10" width="11.5703125" style="38" customWidth="1"/>
    <col min="11" max="11" width="20.42578125" customWidth="1"/>
  </cols>
  <sheetData>
    <row r="1" spans="1:11" s="2" customFormat="1" ht="11.25" customHeight="1" thickTop="1">
      <c r="A1" s="97"/>
      <c r="B1" s="98"/>
      <c r="C1" s="97"/>
      <c r="D1" s="103"/>
      <c r="E1" s="103"/>
      <c r="F1" s="103"/>
      <c r="G1" s="98"/>
      <c r="H1" s="106"/>
      <c r="I1" s="107"/>
      <c r="J1" s="112"/>
      <c r="K1" s="107"/>
    </row>
    <row r="2" spans="1:11" s="2" customFormat="1" ht="11.25" customHeight="1">
      <c r="A2" s="99"/>
      <c r="B2" s="100"/>
      <c r="C2" s="99"/>
      <c r="D2" s="104"/>
      <c r="E2" s="104"/>
      <c r="F2" s="104"/>
      <c r="G2" s="100"/>
      <c r="H2" s="108"/>
      <c r="I2" s="109"/>
      <c r="J2" s="113"/>
      <c r="K2" s="109"/>
    </row>
    <row r="3" spans="1:11" s="2" customFormat="1" ht="11.25" customHeight="1">
      <c r="A3" s="99"/>
      <c r="B3" s="100"/>
      <c r="C3" s="99"/>
      <c r="D3" s="104"/>
      <c r="E3" s="104"/>
      <c r="F3" s="104"/>
      <c r="G3" s="100"/>
      <c r="H3" s="108"/>
      <c r="I3" s="109"/>
      <c r="J3" s="113"/>
      <c r="K3" s="109"/>
    </row>
    <row r="4" spans="1:11" s="4" customFormat="1" ht="11.25" customHeight="1">
      <c r="A4" s="99"/>
      <c r="B4" s="100"/>
      <c r="C4" s="99"/>
      <c r="D4" s="104"/>
      <c r="E4" s="104"/>
      <c r="F4" s="104"/>
      <c r="G4" s="100"/>
      <c r="H4" s="108"/>
      <c r="I4" s="109"/>
      <c r="J4" s="113"/>
      <c r="K4" s="109"/>
    </row>
    <row r="5" spans="1:11" s="4" customFormat="1" ht="11.25" customHeight="1">
      <c r="A5" s="99"/>
      <c r="B5" s="100"/>
      <c r="C5" s="99"/>
      <c r="D5" s="104"/>
      <c r="E5" s="104"/>
      <c r="F5" s="104"/>
      <c r="G5" s="100"/>
      <c r="H5" s="108"/>
      <c r="I5" s="109"/>
      <c r="J5" s="113"/>
      <c r="K5" s="109"/>
    </row>
    <row r="6" spans="1:11" s="4" customFormat="1" ht="11.25" customHeight="1">
      <c r="A6" s="99"/>
      <c r="B6" s="100"/>
      <c r="C6" s="99"/>
      <c r="D6" s="104"/>
      <c r="E6" s="104"/>
      <c r="F6" s="104"/>
      <c r="G6" s="100"/>
      <c r="H6" s="108"/>
      <c r="I6" s="109"/>
      <c r="J6" s="113"/>
      <c r="K6" s="109"/>
    </row>
    <row r="7" spans="1:11" s="4" customFormat="1" ht="11.25" customHeight="1" thickBot="1">
      <c r="A7" s="101"/>
      <c r="B7" s="102"/>
      <c r="C7" s="101"/>
      <c r="D7" s="105"/>
      <c r="E7" s="105"/>
      <c r="F7" s="105"/>
      <c r="G7" s="102"/>
      <c r="H7" s="110"/>
      <c r="I7" s="111"/>
      <c r="J7" s="114"/>
      <c r="K7" s="111"/>
    </row>
    <row r="8" spans="1:11" s="4" customFormat="1" ht="27.75" customHeight="1" thickTop="1">
      <c r="A8" s="115" t="s">
        <v>29</v>
      </c>
      <c r="B8" s="116"/>
      <c r="C8" s="116"/>
      <c r="D8" s="116" t="s">
        <v>20</v>
      </c>
      <c r="E8" s="116"/>
      <c r="F8" s="116" t="s">
        <v>26</v>
      </c>
      <c r="G8" s="116"/>
      <c r="H8" s="116"/>
      <c r="I8" s="116"/>
      <c r="J8" s="116"/>
      <c r="K8" s="40" t="s">
        <v>19</v>
      </c>
    </row>
    <row r="9" spans="1:11" s="4" customFormat="1" ht="27" customHeight="1">
      <c r="A9" s="86" t="s">
        <v>18</v>
      </c>
      <c r="B9" s="87"/>
      <c r="C9" s="87"/>
      <c r="D9" s="88"/>
      <c r="E9" s="88"/>
      <c r="F9" s="89" t="s">
        <v>22</v>
      </c>
      <c r="G9" s="89"/>
      <c r="H9" s="90" t="s">
        <v>23</v>
      </c>
      <c r="I9" s="89"/>
      <c r="J9" s="89"/>
      <c r="K9" s="41" t="s">
        <v>21</v>
      </c>
    </row>
    <row r="10" spans="1:11" s="4" customFormat="1" ht="36" customHeight="1" thickBot="1">
      <c r="A10" s="91" t="s">
        <v>45</v>
      </c>
      <c r="B10" s="92"/>
      <c r="C10" s="92"/>
      <c r="D10" s="92"/>
      <c r="E10" s="92"/>
      <c r="F10" s="92"/>
      <c r="G10" s="92"/>
      <c r="H10" s="92"/>
      <c r="I10" s="92"/>
      <c r="J10" s="92"/>
      <c r="K10" s="42" t="s">
        <v>17</v>
      </c>
    </row>
    <row r="11" spans="1:11" s="2" customFormat="1" ht="14.25" customHeight="1" thickTop="1">
      <c r="A11" s="93" t="s">
        <v>0</v>
      </c>
      <c r="B11" s="95" t="s">
        <v>1</v>
      </c>
      <c r="C11" s="95" t="s">
        <v>2</v>
      </c>
      <c r="D11" s="95" t="s">
        <v>3</v>
      </c>
      <c r="E11" s="80" t="s">
        <v>4</v>
      </c>
      <c r="F11" s="80" t="s">
        <v>5</v>
      </c>
      <c r="G11" s="80" t="s">
        <v>6</v>
      </c>
      <c r="H11" s="82" t="s">
        <v>7</v>
      </c>
      <c r="I11" s="83"/>
      <c r="J11" s="80" t="s">
        <v>8</v>
      </c>
      <c r="K11" s="84" t="s">
        <v>9</v>
      </c>
    </row>
    <row r="12" spans="1:11" s="2" customFormat="1" ht="14.25" customHeight="1">
      <c r="A12" s="94"/>
      <c r="B12" s="96"/>
      <c r="C12" s="96"/>
      <c r="D12" s="96"/>
      <c r="E12" s="81"/>
      <c r="F12" s="81"/>
      <c r="G12" s="81"/>
      <c r="H12" s="76" t="s">
        <v>10</v>
      </c>
      <c r="I12" s="76" t="s">
        <v>11</v>
      </c>
      <c r="J12" s="81"/>
      <c r="K12" s="85"/>
    </row>
    <row r="13" spans="1:11">
      <c r="A13" s="5"/>
      <c r="B13" s="43"/>
      <c r="C13" s="44"/>
      <c r="D13" s="44"/>
      <c r="E13" s="45"/>
      <c r="F13" s="46"/>
      <c r="G13" s="45"/>
      <c r="H13" s="45"/>
      <c r="I13" s="45"/>
      <c r="J13" s="47"/>
      <c r="K13" s="48"/>
    </row>
    <row r="14" spans="1:11" ht="18.75">
      <c r="A14" s="6"/>
      <c r="B14" s="117" t="s">
        <v>46</v>
      </c>
      <c r="C14" s="118"/>
      <c r="D14" s="118"/>
      <c r="E14" s="118"/>
      <c r="F14" s="118"/>
      <c r="G14" s="118"/>
      <c r="H14" s="118"/>
      <c r="I14" s="118"/>
      <c r="J14" s="119"/>
      <c r="K14" s="55"/>
    </row>
    <row r="15" spans="1:11" ht="15.75">
      <c r="A15" s="8"/>
      <c r="B15" s="67"/>
      <c r="C15" s="78"/>
      <c r="D15" s="50"/>
      <c r="E15" s="51"/>
      <c r="F15" s="52"/>
      <c r="G15" s="53"/>
      <c r="H15" s="57"/>
      <c r="I15" s="58"/>
      <c r="J15" s="63"/>
      <c r="K15" s="55"/>
    </row>
    <row r="16" spans="1:11">
      <c r="A16" s="8"/>
      <c r="B16" s="59"/>
      <c r="C16" s="78"/>
      <c r="D16" s="50"/>
      <c r="E16" s="51"/>
      <c r="F16" s="52"/>
      <c r="G16" s="53"/>
      <c r="H16" s="57"/>
      <c r="I16" s="58"/>
      <c r="J16" s="63"/>
      <c r="K16" s="55"/>
    </row>
    <row r="17" spans="1:11">
      <c r="A17" s="8"/>
      <c r="B17" s="59" t="s">
        <v>47</v>
      </c>
      <c r="C17" s="77" t="s">
        <v>25</v>
      </c>
      <c r="D17" s="134">
        <v>4</v>
      </c>
      <c r="E17" s="135"/>
      <c r="F17" s="135"/>
      <c r="G17" s="136"/>
      <c r="H17" s="57"/>
      <c r="I17" s="58"/>
      <c r="J17" s="63">
        <f>D17</f>
        <v>4</v>
      </c>
      <c r="K17" s="55"/>
    </row>
    <row r="18" spans="1:11">
      <c r="A18" s="8"/>
      <c r="B18" s="59"/>
      <c r="C18" s="77"/>
      <c r="D18" s="50"/>
      <c r="E18" s="51"/>
      <c r="F18" s="51"/>
      <c r="G18" s="52"/>
      <c r="H18" s="57"/>
      <c r="I18" s="58"/>
      <c r="J18" s="63"/>
      <c r="K18" s="55"/>
    </row>
    <row r="19" spans="1:11" ht="14.25" customHeight="1">
      <c r="A19" s="8"/>
      <c r="B19" s="69"/>
      <c r="C19" s="68"/>
      <c r="D19" s="70"/>
      <c r="E19" s="51"/>
      <c r="F19" s="52"/>
      <c r="G19" s="53"/>
      <c r="H19" s="57"/>
      <c r="I19" s="58"/>
      <c r="J19" s="63"/>
      <c r="K19" s="61"/>
    </row>
    <row r="20" spans="1:11">
      <c r="A20" s="8"/>
      <c r="B20" s="56"/>
      <c r="C20" s="50"/>
      <c r="D20" s="60"/>
      <c r="E20" s="52"/>
      <c r="F20" s="52"/>
      <c r="G20" s="53"/>
      <c r="H20" s="57"/>
      <c r="I20" s="58"/>
      <c r="J20" s="54"/>
      <c r="K20" s="61"/>
    </row>
    <row r="21" spans="1:11">
      <c r="A21" s="9"/>
      <c r="B21" s="10"/>
      <c r="C21" s="11"/>
      <c r="D21" s="12"/>
      <c r="E21" s="13"/>
      <c r="F21" s="13"/>
      <c r="G21" s="13"/>
      <c r="H21" s="14"/>
      <c r="I21" s="15"/>
      <c r="J21" s="15"/>
      <c r="K21" s="16"/>
    </row>
    <row r="22" spans="1:11" ht="15.75" thickBot="1">
      <c r="A22" s="17"/>
      <c r="B22" s="18" t="s">
        <v>12</v>
      </c>
      <c r="C22" s="19"/>
      <c r="D22" s="20"/>
      <c r="E22" s="21"/>
      <c r="F22" s="22"/>
      <c r="G22" s="23"/>
      <c r="H22" s="24"/>
      <c r="I22" s="24"/>
      <c r="J22" s="62">
        <f>SUM(J15:J21)</f>
        <v>4</v>
      </c>
      <c r="K22" s="25"/>
    </row>
    <row r="23" spans="1:11" ht="16.5" thickTop="1">
      <c r="A23" s="26"/>
      <c r="B23" s="27" t="s">
        <v>13</v>
      </c>
      <c r="C23" s="28"/>
      <c r="D23" s="29"/>
      <c r="E23" s="30"/>
      <c r="F23" s="1"/>
      <c r="G23" s="30"/>
      <c r="H23" s="28"/>
      <c r="I23" s="28"/>
      <c r="J23" s="28" t="s">
        <v>14</v>
      </c>
      <c r="K23" s="31"/>
    </row>
    <row r="24" spans="1:11" ht="15.75">
      <c r="A24" s="32"/>
      <c r="B24" s="33" t="s">
        <v>15</v>
      </c>
      <c r="C24" s="34"/>
      <c r="D24" s="35"/>
      <c r="E24" s="34"/>
      <c r="F24" s="3"/>
      <c r="G24" s="34"/>
      <c r="H24" s="34"/>
      <c r="I24" s="34"/>
      <c r="J24" s="33" t="s">
        <v>16</v>
      </c>
      <c r="K24" s="36"/>
    </row>
  </sheetData>
  <mergeCells count="24">
    <mergeCell ref="D17:G17"/>
    <mergeCell ref="F11:F12"/>
    <mergeCell ref="G11:G12"/>
    <mergeCell ref="H11:I11"/>
    <mergeCell ref="J11:J12"/>
    <mergeCell ref="K11:K12"/>
    <mergeCell ref="B14:J14"/>
    <mergeCell ref="A9:C9"/>
    <mergeCell ref="D9:E9"/>
    <mergeCell ref="F9:G9"/>
    <mergeCell ref="H9:J9"/>
    <mergeCell ref="A10:J10"/>
    <mergeCell ref="A11:A12"/>
    <mergeCell ref="B11:B12"/>
    <mergeCell ref="C11:C12"/>
    <mergeCell ref="D11:D12"/>
    <mergeCell ref="E11:E12"/>
    <mergeCell ref="A1:B7"/>
    <mergeCell ref="C1:G7"/>
    <mergeCell ref="H1:I7"/>
    <mergeCell ref="J1:K7"/>
    <mergeCell ref="A8:C8"/>
    <mergeCell ref="D8:E8"/>
    <mergeCell ref="F8:J8"/>
  </mergeCells>
  <printOptions horizontalCentered="1"/>
  <pageMargins left="0.25" right="0.25" top="0.25" bottom="0" header="0.25" footer="0"/>
  <pageSetup paperSize="9" scale="86" fitToHeight="0" orientation="portrait" r:id="rId1"/>
  <headerFooter>
    <oddFooter>&amp;Rاعداد  : 
مهندس المقاول :</oddFooter>
  </headerFooter>
  <drawing r:id="rId2"/>
  <legacyDrawing r:id="rId3"/>
  <oleObjects>
    <mc:AlternateContent xmlns:mc="http://schemas.openxmlformats.org/markup-compatibility/2006">
      <mc:Choice Requires="x14">
        <oleObject progId="StaticMetafile" shapeId="142337" r:id="rId4">
          <objectPr defaultSize="0" autoPict="0" r:id="rId5">
            <anchor moveWithCells="1">
              <from>
                <xdr:col>7</xdr:col>
                <xdr:colOff>114300</xdr:colOff>
                <xdr:row>0</xdr:row>
                <xdr:rowOff>28575</xdr:rowOff>
              </from>
              <to>
                <xdr:col>8</xdr:col>
                <xdr:colOff>409575</xdr:colOff>
                <xdr:row>5</xdr:row>
                <xdr:rowOff>114300</xdr:rowOff>
              </to>
            </anchor>
          </objectPr>
        </oleObject>
      </mc:Choice>
      <mc:Fallback>
        <oleObject progId="StaticMetafile" shapeId="14233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6E58-1CC5-43A7-9276-2D976D44F7F0}">
  <sheetPr>
    <pageSetUpPr fitToPage="1"/>
  </sheetPr>
  <dimension ref="A1:K24"/>
  <sheetViews>
    <sheetView view="pageBreakPreview" zoomScale="115" zoomScaleSheetLayoutView="115" workbookViewId="0">
      <selection activeCell="B30" sqref="B30"/>
    </sheetView>
  </sheetViews>
  <sheetFormatPr defaultRowHeight="15"/>
  <cols>
    <col min="1" max="1" width="4.7109375" customWidth="1"/>
    <col min="2" max="2" width="26.42578125" bestFit="1" customWidth="1"/>
    <col min="3" max="3" width="6" customWidth="1"/>
    <col min="4" max="4" width="5.5703125" style="37" customWidth="1"/>
    <col min="5" max="5" width="11" style="38" customWidth="1"/>
    <col min="6" max="6" width="6.7109375" style="38" customWidth="1"/>
    <col min="7" max="7" width="9.28515625" style="38" customWidth="1"/>
    <col min="8" max="8" width="6" style="38" customWidth="1"/>
    <col min="9" max="9" width="7.7109375" style="38" customWidth="1"/>
    <col min="10" max="10" width="11.5703125" style="38" customWidth="1"/>
    <col min="11" max="11" width="20.42578125" customWidth="1"/>
  </cols>
  <sheetData>
    <row r="1" spans="1:11" s="2" customFormat="1" ht="11.25" customHeight="1" thickTop="1">
      <c r="A1" s="97"/>
      <c r="B1" s="98"/>
      <c r="C1" s="97"/>
      <c r="D1" s="103"/>
      <c r="E1" s="103"/>
      <c r="F1" s="103"/>
      <c r="G1" s="98"/>
      <c r="H1" s="106"/>
      <c r="I1" s="107"/>
      <c r="J1" s="112"/>
      <c r="K1" s="107"/>
    </row>
    <row r="2" spans="1:11" s="2" customFormat="1" ht="11.25" customHeight="1">
      <c r="A2" s="99"/>
      <c r="B2" s="100"/>
      <c r="C2" s="99"/>
      <c r="D2" s="104"/>
      <c r="E2" s="104"/>
      <c r="F2" s="104"/>
      <c r="G2" s="100"/>
      <c r="H2" s="108"/>
      <c r="I2" s="109"/>
      <c r="J2" s="113"/>
      <c r="K2" s="109"/>
    </row>
    <row r="3" spans="1:11" s="2" customFormat="1" ht="11.25" customHeight="1">
      <c r="A3" s="99"/>
      <c r="B3" s="100"/>
      <c r="C3" s="99"/>
      <c r="D3" s="104"/>
      <c r="E3" s="104"/>
      <c r="F3" s="104"/>
      <c r="G3" s="100"/>
      <c r="H3" s="108"/>
      <c r="I3" s="109"/>
      <c r="J3" s="113"/>
      <c r="K3" s="109"/>
    </row>
    <row r="4" spans="1:11" s="4" customFormat="1" ht="11.25" customHeight="1">
      <c r="A4" s="99"/>
      <c r="B4" s="100"/>
      <c r="C4" s="99"/>
      <c r="D4" s="104"/>
      <c r="E4" s="104"/>
      <c r="F4" s="104"/>
      <c r="G4" s="100"/>
      <c r="H4" s="108"/>
      <c r="I4" s="109"/>
      <c r="J4" s="113"/>
      <c r="K4" s="109"/>
    </row>
    <row r="5" spans="1:11" s="4" customFormat="1" ht="11.25" customHeight="1">
      <c r="A5" s="99"/>
      <c r="B5" s="100"/>
      <c r="C5" s="99"/>
      <c r="D5" s="104"/>
      <c r="E5" s="104"/>
      <c r="F5" s="104"/>
      <c r="G5" s="100"/>
      <c r="H5" s="108"/>
      <c r="I5" s="109"/>
      <c r="J5" s="113"/>
      <c r="K5" s="109"/>
    </row>
    <row r="6" spans="1:11" s="4" customFormat="1" ht="11.25" customHeight="1">
      <c r="A6" s="99"/>
      <c r="B6" s="100"/>
      <c r="C6" s="99"/>
      <c r="D6" s="104"/>
      <c r="E6" s="104"/>
      <c r="F6" s="104"/>
      <c r="G6" s="100"/>
      <c r="H6" s="108"/>
      <c r="I6" s="109"/>
      <c r="J6" s="113"/>
      <c r="K6" s="109"/>
    </row>
    <row r="7" spans="1:11" s="4" customFormat="1" ht="11.25" customHeight="1" thickBot="1">
      <c r="A7" s="101"/>
      <c r="B7" s="102"/>
      <c r="C7" s="101"/>
      <c r="D7" s="105"/>
      <c r="E7" s="105"/>
      <c r="F7" s="105"/>
      <c r="G7" s="102"/>
      <c r="H7" s="110"/>
      <c r="I7" s="111"/>
      <c r="J7" s="114"/>
      <c r="K7" s="111"/>
    </row>
    <row r="8" spans="1:11" s="4" customFormat="1" ht="27.75" customHeight="1" thickTop="1">
      <c r="A8" s="115" t="s">
        <v>29</v>
      </c>
      <c r="B8" s="116"/>
      <c r="C8" s="116"/>
      <c r="D8" s="116" t="s">
        <v>20</v>
      </c>
      <c r="E8" s="116"/>
      <c r="F8" s="116" t="s">
        <v>26</v>
      </c>
      <c r="G8" s="116"/>
      <c r="H8" s="116"/>
      <c r="I8" s="116"/>
      <c r="J8" s="116"/>
      <c r="K8" s="40" t="s">
        <v>19</v>
      </c>
    </row>
    <row r="9" spans="1:11" s="4" customFormat="1" ht="27" customHeight="1">
      <c r="A9" s="86" t="s">
        <v>18</v>
      </c>
      <c r="B9" s="87"/>
      <c r="C9" s="87"/>
      <c r="D9" s="88"/>
      <c r="E9" s="88"/>
      <c r="F9" s="89" t="s">
        <v>22</v>
      </c>
      <c r="G9" s="89"/>
      <c r="H9" s="90" t="s">
        <v>23</v>
      </c>
      <c r="I9" s="89"/>
      <c r="J9" s="89"/>
      <c r="K9" s="41" t="s">
        <v>21</v>
      </c>
    </row>
    <row r="10" spans="1:11" s="4" customFormat="1" ht="36" customHeight="1" thickBot="1">
      <c r="A10" s="91" t="s">
        <v>45</v>
      </c>
      <c r="B10" s="92"/>
      <c r="C10" s="92"/>
      <c r="D10" s="92"/>
      <c r="E10" s="92"/>
      <c r="F10" s="92"/>
      <c r="G10" s="92"/>
      <c r="H10" s="92"/>
      <c r="I10" s="92"/>
      <c r="J10" s="92"/>
      <c r="K10" s="42" t="s">
        <v>17</v>
      </c>
    </row>
    <row r="11" spans="1:11" s="2" customFormat="1" ht="14.25" customHeight="1" thickTop="1">
      <c r="A11" s="93" t="s">
        <v>0</v>
      </c>
      <c r="B11" s="95" t="s">
        <v>1</v>
      </c>
      <c r="C11" s="95" t="s">
        <v>2</v>
      </c>
      <c r="D11" s="95" t="s">
        <v>3</v>
      </c>
      <c r="E11" s="80" t="s">
        <v>4</v>
      </c>
      <c r="F11" s="80" t="s">
        <v>5</v>
      </c>
      <c r="G11" s="80" t="s">
        <v>6</v>
      </c>
      <c r="H11" s="82" t="s">
        <v>7</v>
      </c>
      <c r="I11" s="83"/>
      <c r="J11" s="80" t="s">
        <v>8</v>
      </c>
      <c r="K11" s="84" t="s">
        <v>9</v>
      </c>
    </row>
    <row r="12" spans="1:11" s="2" customFormat="1" ht="14.25" customHeight="1">
      <c r="A12" s="94"/>
      <c r="B12" s="96"/>
      <c r="C12" s="96"/>
      <c r="D12" s="96"/>
      <c r="E12" s="81"/>
      <c r="F12" s="81"/>
      <c r="G12" s="81"/>
      <c r="H12" s="76" t="s">
        <v>10</v>
      </c>
      <c r="I12" s="76" t="s">
        <v>11</v>
      </c>
      <c r="J12" s="81"/>
      <c r="K12" s="85"/>
    </row>
    <row r="13" spans="1:11">
      <c r="A13" s="5"/>
      <c r="B13" s="43"/>
      <c r="C13" s="44"/>
      <c r="D13" s="44"/>
      <c r="E13" s="45"/>
      <c r="F13" s="46"/>
      <c r="G13" s="45"/>
      <c r="H13" s="45"/>
      <c r="I13" s="45"/>
      <c r="J13" s="47"/>
      <c r="K13" s="48"/>
    </row>
    <row r="14" spans="1:11" ht="18.75">
      <c r="A14" s="6"/>
      <c r="B14" s="117" t="s">
        <v>46</v>
      </c>
      <c r="C14" s="118"/>
      <c r="D14" s="118"/>
      <c r="E14" s="118"/>
      <c r="F14" s="118"/>
      <c r="G14" s="118"/>
      <c r="H14" s="118"/>
      <c r="I14" s="118"/>
      <c r="J14" s="119"/>
      <c r="K14" s="55"/>
    </row>
    <row r="15" spans="1:11" ht="15.75">
      <c r="A15" s="8"/>
      <c r="B15" s="67"/>
      <c r="C15" s="78"/>
      <c r="D15" s="50"/>
      <c r="E15" s="51"/>
      <c r="F15" s="52"/>
      <c r="G15" s="53"/>
      <c r="H15" s="57"/>
      <c r="I15" s="58"/>
      <c r="J15" s="63"/>
      <c r="K15" s="55"/>
    </row>
    <row r="16" spans="1:11">
      <c r="A16" s="8"/>
      <c r="B16" s="59"/>
      <c r="C16" s="78"/>
      <c r="D16" s="50"/>
      <c r="E16" s="51"/>
      <c r="F16" s="52"/>
      <c r="G16" s="53"/>
      <c r="H16" s="57"/>
      <c r="I16" s="58"/>
      <c r="J16" s="63"/>
      <c r="K16" s="55"/>
    </row>
    <row r="17" spans="1:11">
      <c r="A17" s="8"/>
      <c r="B17" s="59" t="s">
        <v>47</v>
      </c>
      <c r="C17" s="77" t="s">
        <v>25</v>
      </c>
      <c r="D17" s="134">
        <v>4</v>
      </c>
      <c r="E17" s="135"/>
      <c r="F17" s="135"/>
      <c r="G17" s="136"/>
      <c r="H17" s="57"/>
      <c r="I17" s="58"/>
      <c r="J17" s="63">
        <f>D17</f>
        <v>4</v>
      </c>
      <c r="K17" s="55"/>
    </row>
    <row r="18" spans="1:11">
      <c r="A18" s="8"/>
      <c r="B18" s="59"/>
      <c r="C18" s="77"/>
      <c r="D18" s="50"/>
      <c r="E18" s="51"/>
      <c r="F18" s="51"/>
      <c r="G18" s="52"/>
      <c r="H18" s="57"/>
      <c r="I18" s="58"/>
      <c r="J18" s="63"/>
      <c r="K18" s="55"/>
    </row>
    <row r="19" spans="1:11" ht="14.25" customHeight="1">
      <c r="A19" s="8"/>
      <c r="B19" s="69"/>
      <c r="C19" s="68"/>
      <c r="D19" s="70"/>
      <c r="E19" s="51"/>
      <c r="F19" s="52"/>
      <c r="G19" s="53"/>
      <c r="H19" s="57"/>
      <c r="I19" s="58"/>
      <c r="J19" s="63"/>
      <c r="K19" s="61"/>
    </row>
    <row r="20" spans="1:11">
      <c r="A20" s="8"/>
      <c r="B20" s="56"/>
      <c r="C20" s="50"/>
      <c r="D20" s="60"/>
      <c r="E20" s="52"/>
      <c r="F20" s="52"/>
      <c r="G20" s="53"/>
      <c r="H20" s="57"/>
      <c r="I20" s="58"/>
      <c r="J20" s="54"/>
      <c r="K20" s="61"/>
    </row>
    <row r="21" spans="1:11">
      <c r="A21" s="9"/>
      <c r="B21" s="10"/>
      <c r="C21" s="11"/>
      <c r="D21" s="12"/>
      <c r="E21" s="13"/>
      <c r="F21" s="13"/>
      <c r="G21" s="13"/>
      <c r="H21" s="14"/>
      <c r="I21" s="15"/>
      <c r="J21" s="15"/>
      <c r="K21" s="16"/>
    </row>
    <row r="22" spans="1:11" ht="15.75" thickBot="1">
      <c r="A22" s="17"/>
      <c r="B22" s="18" t="s">
        <v>12</v>
      </c>
      <c r="C22" s="19"/>
      <c r="D22" s="20"/>
      <c r="E22" s="21"/>
      <c r="F22" s="22"/>
      <c r="G22" s="23"/>
      <c r="H22" s="24"/>
      <c r="I22" s="24"/>
      <c r="J22" s="62">
        <f>SUM(J15:J21)</f>
        <v>4</v>
      </c>
      <c r="K22" s="25"/>
    </row>
    <row r="23" spans="1:11" ht="16.5" thickTop="1">
      <c r="A23" s="26"/>
      <c r="B23" s="27" t="s">
        <v>13</v>
      </c>
      <c r="C23" s="28"/>
      <c r="D23" s="29"/>
      <c r="E23" s="30"/>
      <c r="F23" s="1"/>
      <c r="G23" s="30"/>
      <c r="H23" s="28"/>
      <c r="I23" s="28"/>
      <c r="J23" s="28" t="s">
        <v>14</v>
      </c>
      <c r="K23" s="31"/>
    </row>
    <row r="24" spans="1:11" ht="15.75">
      <c r="A24" s="32"/>
      <c r="B24" s="33" t="s">
        <v>15</v>
      </c>
      <c r="C24" s="34"/>
      <c r="D24" s="35"/>
      <c r="E24" s="34"/>
      <c r="F24" s="3"/>
      <c r="G24" s="34"/>
      <c r="H24" s="34"/>
      <c r="I24" s="34"/>
      <c r="J24" s="33" t="s">
        <v>16</v>
      </c>
      <c r="K24" s="36"/>
    </row>
  </sheetData>
  <mergeCells count="24">
    <mergeCell ref="D17:G17"/>
    <mergeCell ref="F11:F12"/>
    <mergeCell ref="G11:G12"/>
    <mergeCell ref="H11:I11"/>
    <mergeCell ref="J11:J12"/>
    <mergeCell ref="K11:K12"/>
    <mergeCell ref="B14:J14"/>
    <mergeCell ref="A9:C9"/>
    <mergeCell ref="D9:E9"/>
    <mergeCell ref="F9:G9"/>
    <mergeCell ref="H9:J9"/>
    <mergeCell ref="A10:J10"/>
    <mergeCell ref="A11:A12"/>
    <mergeCell ref="B11:B12"/>
    <mergeCell ref="C11:C12"/>
    <mergeCell ref="D11:D12"/>
    <mergeCell ref="E11:E12"/>
    <mergeCell ref="A1:B7"/>
    <mergeCell ref="C1:G7"/>
    <mergeCell ref="H1:I7"/>
    <mergeCell ref="J1:K7"/>
    <mergeCell ref="A8:C8"/>
    <mergeCell ref="D8:E8"/>
    <mergeCell ref="F8:J8"/>
  </mergeCells>
  <printOptions horizontalCentered="1"/>
  <pageMargins left="0" right="0" top="0" bottom="0" header="0" footer="0"/>
  <pageSetup paperSize="9" scale="91" fitToHeight="0" orientation="portrait" r:id="rId1"/>
  <headerFooter>
    <oddFooter>&amp;Rاعداد  : 
مهندس المقاول :</oddFooter>
  </headerFooter>
  <drawing r:id="rId2"/>
  <legacyDrawing r:id="rId3"/>
  <oleObjects>
    <mc:AlternateContent xmlns:mc="http://schemas.openxmlformats.org/markup-compatibility/2006">
      <mc:Choice Requires="x14">
        <oleObject progId="StaticMetafile" shapeId="141313" r:id="rId4">
          <objectPr defaultSize="0" autoPict="0" r:id="rId5">
            <anchor moveWithCells="1">
              <from>
                <xdr:col>7</xdr:col>
                <xdr:colOff>114300</xdr:colOff>
                <xdr:row>0</xdr:row>
                <xdr:rowOff>28575</xdr:rowOff>
              </from>
              <to>
                <xdr:col>8</xdr:col>
                <xdr:colOff>409575</xdr:colOff>
                <xdr:row>5</xdr:row>
                <xdr:rowOff>114300</xdr:rowOff>
              </to>
            </anchor>
          </objectPr>
        </oleObject>
      </mc:Choice>
      <mc:Fallback>
        <oleObject progId="StaticMetafile" shapeId="14131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E03F-884C-4E23-9967-C7F81A34AE00}">
  <sheetPr>
    <pageSetUpPr fitToPage="1"/>
  </sheetPr>
  <dimension ref="A1:K48"/>
  <sheetViews>
    <sheetView view="pageBreakPreview" topLeftCell="A7" zoomScale="115" zoomScaleSheetLayoutView="115" workbookViewId="0">
      <selection activeCell="B30" sqref="B30"/>
    </sheetView>
  </sheetViews>
  <sheetFormatPr defaultRowHeight="15"/>
  <cols>
    <col min="1" max="1" width="4.7109375" customWidth="1"/>
    <col min="2" max="2" width="26.42578125" bestFit="1" customWidth="1"/>
    <col min="3" max="3" width="6" customWidth="1"/>
    <col min="4" max="4" width="5.5703125" style="37" customWidth="1"/>
    <col min="5" max="5" width="11" style="38" customWidth="1"/>
    <col min="6" max="6" width="6.7109375" style="38" customWidth="1"/>
    <col min="7" max="7" width="9.28515625" style="38" customWidth="1"/>
    <col min="8" max="8" width="6" style="38" customWidth="1"/>
    <col min="9" max="9" width="7.7109375" style="38" customWidth="1"/>
    <col min="10" max="10" width="11.5703125" style="38" customWidth="1"/>
    <col min="11" max="11" width="20.42578125" customWidth="1"/>
  </cols>
  <sheetData>
    <row r="1" spans="1:11" s="2" customFormat="1" ht="11.25" customHeight="1" thickTop="1">
      <c r="A1" s="97"/>
      <c r="B1" s="98"/>
      <c r="C1" s="97"/>
      <c r="D1" s="103"/>
      <c r="E1" s="103"/>
      <c r="F1" s="103"/>
      <c r="G1" s="98"/>
      <c r="H1" s="106"/>
      <c r="I1" s="107"/>
      <c r="J1" s="112"/>
      <c r="K1" s="107"/>
    </row>
    <row r="2" spans="1:11" s="2" customFormat="1" ht="11.25" customHeight="1">
      <c r="A2" s="99"/>
      <c r="B2" s="100"/>
      <c r="C2" s="99"/>
      <c r="D2" s="104"/>
      <c r="E2" s="104"/>
      <c r="F2" s="104"/>
      <c r="G2" s="100"/>
      <c r="H2" s="108"/>
      <c r="I2" s="109"/>
      <c r="J2" s="113"/>
      <c r="K2" s="109"/>
    </row>
    <row r="3" spans="1:11" s="2" customFormat="1" ht="11.25" customHeight="1">
      <c r="A3" s="99"/>
      <c r="B3" s="100"/>
      <c r="C3" s="99"/>
      <c r="D3" s="104"/>
      <c r="E3" s="104"/>
      <c r="F3" s="104"/>
      <c r="G3" s="100"/>
      <c r="H3" s="108"/>
      <c r="I3" s="109"/>
      <c r="J3" s="113"/>
      <c r="K3" s="109"/>
    </row>
    <row r="4" spans="1:11" s="4" customFormat="1" ht="11.25" customHeight="1">
      <c r="A4" s="99"/>
      <c r="B4" s="100"/>
      <c r="C4" s="99"/>
      <c r="D4" s="104"/>
      <c r="E4" s="104"/>
      <c r="F4" s="104"/>
      <c r="G4" s="100"/>
      <c r="H4" s="108"/>
      <c r="I4" s="109"/>
      <c r="J4" s="113"/>
      <c r="K4" s="109"/>
    </row>
    <row r="5" spans="1:11" s="4" customFormat="1" ht="11.25" customHeight="1">
      <c r="A5" s="99"/>
      <c r="B5" s="100"/>
      <c r="C5" s="99"/>
      <c r="D5" s="104"/>
      <c r="E5" s="104"/>
      <c r="F5" s="104"/>
      <c r="G5" s="100"/>
      <c r="H5" s="108"/>
      <c r="I5" s="109"/>
      <c r="J5" s="113"/>
      <c r="K5" s="109"/>
    </row>
    <row r="6" spans="1:11" s="4" customFormat="1" ht="11.25" customHeight="1">
      <c r="A6" s="99"/>
      <c r="B6" s="100"/>
      <c r="C6" s="99"/>
      <c r="D6" s="104"/>
      <c r="E6" s="104"/>
      <c r="F6" s="104"/>
      <c r="G6" s="100"/>
      <c r="H6" s="108"/>
      <c r="I6" s="109"/>
      <c r="J6" s="113"/>
      <c r="K6" s="109"/>
    </row>
    <row r="7" spans="1:11" s="4" customFormat="1" ht="11.25" customHeight="1" thickBot="1">
      <c r="A7" s="101"/>
      <c r="B7" s="102"/>
      <c r="C7" s="101"/>
      <c r="D7" s="105"/>
      <c r="E7" s="105"/>
      <c r="F7" s="105"/>
      <c r="G7" s="102"/>
      <c r="H7" s="110"/>
      <c r="I7" s="111"/>
      <c r="J7" s="114"/>
      <c r="K7" s="111"/>
    </row>
    <row r="8" spans="1:11" s="4" customFormat="1" ht="27.75" customHeight="1" thickTop="1">
      <c r="A8" s="115" t="s">
        <v>29</v>
      </c>
      <c r="B8" s="116"/>
      <c r="C8" s="116"/>
      <c r="D8" s="116" t="s">
        <v>20</v>
      </c>
      <c r="E8" s="116"/>
      <c r="F8" s="116" t="s">
        <v>26</v>
      </c>
      <c r="G8" s="116"/>
      <c r="H8" s="116"/>
      <c r="I8" s="116"/>
      <c r="J8" s="116"/>
      <c r="K8" s="40" t="s">
        <v>19</v>
      </c>
    </row>
    <row r="9" spans="1:11" s="4" customFormat="1" ht="27" customHeight="1">
      <c r="A9" s="86" t="s">
        <v>18</v>
      </c>
      <c r="B9" s="87"/>
      <c r="C9" s="87"/>
      <c r="D9" s="88"/>
      <c r="E9" s="88"/>
      <c r="F9" s="89" t="s">
        <v>22</v>
      </c>
      <c r="G9" s="89"/>
      <c r="H9" s="90" t="s">
        <v>23</v>
      </c>
      <c r="I9" s="89"/>
      <c r="J9" s="89"/>
      <c r="K9" s="41" t="s">
        <v>21</v>
      </c>
    </row>
    <row r="10" spans="1:11" s="4" customFormat="1" ht="36" customHeight="1" thickBot="1">
      <c r="A10" s="91" t="s">
        <v>42</v>
      </c>
      <c r="B10" s="92"/>
      <c r="C10" s="92"/>
      <c r="D10" s="92"/>
      <c r="E10" s="92"/>
      <c r="F10" s="92"/>
      <c r="G10" s="92"/>
      <c r="H10" s="92"/>
      <c r="I10" s="92"/>
      <c r="J10" s="92"/>
      <c r="K10" s="42" t="s">
        <v>17</v>
      </c>
    </row>
    <row r="11" spans="1:11" s="2" customFormat="1" ht="14.25" customHeight="1" thickTop="1">
      <c r="A11" s="93" t="s">
        <v>0</v>
      </c>
      <c r="B11" s="95" t="s">
        <v>1</v>
      </c>
      <c r="C11" s="95" t="s">
        <v>2</v>
      </c>
      <c r="D11" s="95" t="s">
        <v>3</v>
      </c>
      <c r="E11" s="80" t="s">
        <v>4</v>
      </c>
      <c r="F11" s="80" t="s">
        <v>5</v>
      </c>
      <c r="G11" s="80" t="s">
        <v>6</v>
      </c>
      <c r="H11" s="82" t="s">
        <v>7</v>
      </c>
      <c r="I11" s="83"/>
      <c r="J11" s="80" t="s">
        <v>8</v>
      </c>
      <c r="K11" s="84" t="s">
        <v>9</v>
      </c>
    </row>
    <row r="12" spans="1:11" s="2" customFormat="1" ht="14.25" customHeight="1">
      <c r="A12" s="94"/>
      <c r="B12" s="96"/>
      <c r="C12" s="96"/>
      <c r="D12" s="96"/>
      <c r="E12" s="81"/>
      <c r="F12" s="81"/>
      <c r="G12" s="81"/>
      <c r="H12" s="76" t="s">
        <v>10</v>
      </c>
      <c r="I12" s="76" t="s">
        <v>11</v>
      </c>
      <c r="J12" s="81"/>
      <c r="K12" s="85"/>
    </row>
    <row r="13" spans="1:11">
      <c r="A13" s="5"/>
      <c r="B13" s="43"/>
      <c r="C13" s="44"/>
      <c r="D13" s="44"/>
      <c r="E13" s="45"/>
      <c r="F13" s="46"/>
      <c r="G13" s="45"/>
      <c r="H13" s="45"/>
      <c r="I13" s="45"/>
      <c r="J13" s="47"/>
      <c r="K13" s="48"/>
    </row>
    <row r="14" spans="1:11" ht="18.75">
      <c r="A14" s="6"/>
      <c r="B14" s="117" t="s">
        <v>43</v>
      </c>
      <c r="C14" s="118"/>
      <c r="D14" s="118"/>
      <c r="E14" s="118"/>
      <c r="F14" s="118"/>
      <c r="G14" s="118"/>
      <c r="H14" s="118"/>
      <c r="I14" s="118"/>
      <c r="J14" s="119"/>
      <c r="K14" s="55"/>
    </row>
    <row r="15" spans="1:11" ht="15.75">
      <c r="A15" s="8"/>
      <c r="B15" s="67"/>
      <c r="C15" s="78"/>
      <c r="D15" s="50"/>
      <c r="E15" s="51"/>
      <c r="F15" s="52"/>
      <c r="G15" s="53"/>
      <c r="H15" s="57"/>
      <c r="I15" s="58"/>
      <c r="J15" s="63"/>
      <c r="K15" s="55"/>
    </row>
    <row r="16" spans="1:11">
      <c r="A16" s="8"/>
      <c r="B16" s="59"/>
      <c r="C16" s="78"/>
      <c r="D16" s="50"/>
      <c r="E16" s="51"/>
      <c r="F16" s="52"/>
      <c r="G16" s="53"/>
      <c r="H16" s="57"/>
      <c r="I16" s="58"/>
      <c r="J16" s="63"/>
      <c r="K16" s="55"/>
    </row>
    <row r="17" spans="1:11">
      <c r="A17" s="8"/>
      <c r="B17" s="59" t="s">
        <v>44</v>
      </c>
      <c r="C17" s="77" t="s">
        <v>24</v>
      </c>
      <c r="D17" s="50">
        <v>2</v>
      </c>
      <c r="E17" s="52">
        <v>46.4</v>
      </c>
      <c r="F17" s="52">
        <v>1</v>
      </c>
      <c r="G17" s="52">
        <v>3.05</v>
      </c>
      <c r="H17" s="57"/>
      <c r="I17" s="58"/>
      <c r="J17" s="63">
        <f>G17*F17*E17*D17</f>
        <v>283.03999999999996</v>
      </c>
      <c r="K17" s="55"/>
    </row>
    <row r="18" spans="1:11">
      <c r="A18" s="8"/>
      <c r="B18" s="59"/>
      <c r="C18" s="77" t="s">
        <v>24</v>
      </c>
      <c r="D18" s="50">
        <v>2</v>
      </c>
      <c r="E18" s="51">
        <v>21.15</v>
      </c>
      <c r="F18" s="51">
        <v>1</v>
      </c>
      <c r="G18" s="52">
        <v>3.05</v>
      </c>
      <c r="H18" s="57"/>
      <c r="I18" s="58"/>
      <c r="J18" s="63">
        <f>G18*F18*E18*D18</f>
        <v>129.01499999999999</v>
      </c>
      <c r="K18" s="55"/>
    </row>
    <row r="19" spans="1:11">
      <c r="A19" s="8"/>
      <c r="B19" s="59"/>
      <c r="C19" s="77"/>
      <c r="D19" s="50"/>
      <c r="E19" s="51"/>
      <c r="F19" s="51"/>
      <c r="G19" s="52"/>
      <c r="H19" s="57"/>
      <c r="I19" s="58"/>
      <c r="J19" s="63"/>
      <c r="K19" s="55"/>
    </row>
    <row r="20" spans="1:11">
      <c r="A20" s="8"/>
      <c r="B20" s="59"/>
      <c r="C20" s="68" t="s">
        <v>40</v>
      </c>
      <c r="D20" s="120">
        <v>-4</v>
      </c>
      <c r="E20" s="72">
        <v>1</v>
      </c>
      <c r="F20" s="73">
        <v>3</v>
      </c>
      <c r="G20" s="73">
        <v>2.2000000000000002</v>
      </c>
      <c r="H20" s="74"/>
      <c r="I20" s="74"/>
      <c r="J20" s="75">
        <f>G20*F20*E20*D20</f>
        <v>-26.400000000000002</v>
      </c>
      <c r="K20" s="55"/>
    </row>
    <row r="21" spans="1:11">
      <c r="A21" s="8"/>
      <c r="B21" s="69"/>
      <c r="C21" s="68" t="s">
        <v>40</v>
      </c>
      <c r="D21" s="120">
        <v>-1</v>
      </c>
      <c r="E21" s="72">
        <v>1</v>
      </c>
      <c r="F21" s="73">
        <v>1.25</v>
      </c>
      <c r="G21" s="73">
        <v>2.2000000000000002</v>
      </c>
      <c r="H21" s="74"/>
      <c r="I21" s="74"/>
      <c r="J21" s="75">
        <f>G21*F21*E21*D21</f>
        <v>-2.75</v>
      </c>
      <c r="K21" s="55"/>
    </row>
    <row r="22" spans="1:11">
      <c r="A22" s="8"/>
      <c r="B22" s="121"/>
      <c r="C22" s="122"/>
      <c r="D22" s="122"/>
      <c r="E22" s="123"/>
      <c r="F22" s="124"/>
      <c r="G22" s="125"/>
      <c r="H22" s="126"/>
      <c r="I22" s="126"/>
      <c r="J22" s="127"/>
      <c r="K22" s="128"/>
    </row>
    <row r="23" spans="1:11">
      <c r="A23" s="8"/>
      <c r="B23" s="121"/>
      <c r="C23" s="129"/>
      <c r="D23" s="122"/>
      <c r="E23" s="123"/>
      <c r="F23" s="124"/>
      <c r="G23" s="124"/>
      <c r="H23" s="126"/>
      <c r="I23" s="126"/>
      <c r="J23" s="127"/>
      <c r="K23" s="128"/>
    </row>
    <row r="24" spans="1:11">
      <c r="A24" s="8"/>
      <c r="B24" s="121"/>
      <c r="C24" s="130"/>
      <c r="D24" s="122"/>
      <c r="E24" s="123"/>
      <c r="F24" s="124"/>
      <c r="G24" s="125"/>
      <c r="H24" s="126"/>
      <c r="I24" s="126"/>
      <c r="J24" s="127"/>
      <c r="K24" s="128"/>
    </row>
    <row r="25" spans="1:11">
      <c r="A25" s="8"/>
      <c r="B25" s="59"/>
      <c r="C25" s="129"/>
      <c r="D25" s="122"/>
      <c r="E25" s="123"/>
      <c r="F25" s="124"/>
      <c r="G25" s="125"/>
      <c r="H25" s="126"/>
      <c r="I25" s="126"/>
      <c r="J25" s="127"/>
      <c r="K25" s="128"/>
    </row>
    <row r="26" spans="1:11">
      <c r="A26" s="8"/>
      <c r="B26" s="59"/>
      <c r="C26" s="129"/>
      <c r="D26" s="122"/>
      <c r="E26" s="123"/>
      <c r="F26" s="124"/>
      <c r="G26" s="124"/>
      <c r="H26" s="126"/>
      <c r="I26" s="126"/>
      <c r="J26" s="127"/>
      <c r="K26" s="128"/>
    </row>
    <row r="27" spans="1:11" ht="14.25" customHeight="1">
      <c r="A27" s="8"/>
      <c r="B27" s="59"/>
      <c r="C27" s="129"/>
      <c r="D27" s="122"/>
      <c r="E27" s="123"/>
      <c r="F27" s="124"/>
      <c r="G27" s="124"/>
      <c r="H27" s="126"/>
      <c r="I27" s="126"/>
      <c r="J27" s="127"/>
      <c r="K27" s="128"/>
    </row>
    <row r="28" spans="1:11" ht="14.25" customHeight="1">
      <c r="A28" s="8"/>
      <c r="B28" s="59"/>
      <c r="C28" s="129"/>
      <c r="D28" s="122"/>
      <c r="E28" s="123"/>
      <c r="F28" s="124"/>
      <c r="G28" s="124"/>
      <c r="H28" s="126"/>
      <c r="I28" s="126"/>
      <c r="J28" s="127"/>
      <c r="K28" s="131"/>
    </row>
    <row r="29" spans="1:11" ht="14.25" customHeight="1">
      <c r="A29" s="8"/>
      <c r="B29" s="59"/>
      <c r="C29" s="129"/>
      <c r="D29" s="122"/>
      <c r="E29" s="123"/>
      <c r="F29" s="124"/>
      <c r="G29" s="125"/>
      <c r="H29" s="126"/>
      <c r="I29" s="126"/>
      <c r="J29" s="127"/>
      <c r="K29" s="131"/>
    </row>
    <row r="30" spans="1:11" ht="14.25" customHeight="1">
      <c r="A30" s="8"/>
      <c r="B30" s="132"/>
      <c r="C30" s="133"/>
      <c r="D30" s="122"/>
      <c r="E30" s="123"/>
      <c r="F30" s="124"/>
      <c r="G30" s="125"/>
      <c r="H30" s="126"/>
      <c r="I30" s="126"/>
      <c r="J30" s="127"/>
      <c r="K30" s="131"/>
    </row>
    <row r="31" spans="1:11" ht="14.25" customHeight="1">
      <c r="A31" s="8"/>
      <c r="B31" s="59"/>
      <c r="C31" s="129"/>
      <c r="D31" s="122"/>
      <c r="E31" s="123"/>
      <c r="F31" s="124"/>
      <c r="G31" s="124"/>
      <c r="H31" s="126"/>
      <c r="I31" s="126"/>
      <c r="J31" s="127"/>
      <c r="K31" s="131"/>
    </row>
    <row r="32" spans="1:11" ht="14.25" customHeight="1">
      <c r="A32" s="8"/>
      <c r="B32" s="59"/>
      <c r="C32" s="122"/>
      <c r="D32" s="122"/>
      <c r="E32" s="123"/>
      <c r="F32" s="124"/>
      <c r="G32" s="125"/>
      <c r="H32" s="126"/>
      <c r="I32" s="126"/>
      <c r="J32" s="127"/>
      <c r="K32" s="131"/>
    </row>
    <row r="33" spans="1:11" ht="14.25" customHeight="1">
      <c r="A33" s="8"/>
      <c r="B33" s="59"/>
      <c r="C33" s="129"/>
      <c r="D33" s="122"/>
      <c r="E33" s="123"/>
      <c r="F33" s="124"/>
      <c r="G33" s="124"/>
      <c r="H33" s="126"/>
      <c r="I33" s="126"/>
      <c r="J33" s="127"/>
      <c r="K33" s="131"/>
    </row>
    <row r="34" spans="1:11" ht="14.25" customHeight="1">
      <c r="A34" s="8"/>
      <c r="B34" s="59"/>
      <c r="C34" s="68"/>
      <c r="D34" s="50"/>
      <c r="E34" s="51"/>
      <c r="F34" s="52"/>
      <c r="G34" s="52"/>
      <c r="H34" s="57"/>
      <c r="I34" s="58"/>
      <c r="J34" s="63"/>
      <c r="K34" s="61"/>
    </row>
    <row r="35" spans="1:11" ht="14.25" customHeight="1">
      <c r="A35" s="8"/>
      <c r="B35" s="65"/>
      <c r="C35" s="77"/>
      <c r="D35" s="50"/>
      <c r="E35" s="51"/>
      <c r="F35" s="52"/>
      <c r="G35" s="52"/>
      <c r="H35" s="57"/>
      <c r="I35" s="58"/>
      <c r="J35" s="63"/>
      <c r="K35" s="61"/>
    </row>
    <row r="36" spans="1:11" ht="14.25" customHeight="1">
      <c r="A36" s="8"/>
      <c r="B36" s="69"/>
      <c r="C36" s="50"/>
      <c r="D36" s="50"/>
      <c r="E36" s="51"/>
      <c r="F36" s="52"/>
      <c r="G36" s="53"/>
      <c r="H36" s="57"/>
      <c r="I36" s="58"/>
      <c r="J36" s="63"/>
      <c r="K36" s="61"/>
    </row>
    <row r="37" spans="1:11" ht="14.25" customHeight="1">
      <c r="A37" s="8"/>
      <c r="B37" s="79"/>
      <c r="C37" s="77"/>
      <c r="D37" s="50"/>
      <c r="E37" s="51"/>
      <c r="F37" s="52"/>
      <c r="G37" s="52"/>
      <c r="H37" s="57"/>
      <c r="I37" s="58"/>
      <c r="J37" s="63"/>
      <c r="K37" s="61"/>
    </row>
    <row r="38" spans="1:11" ht="14.25" customHeight="1">
      <c r="A38" s="8"/>
      <c r="B38" s="65"/>
      <c r="C38" s="50"/>
      <c r="D38" s="50"/>
      <c r="E38" s="51"/>
      <c r="F38" s="52"/>
      <c r="G38" s="53"/>
      <c r="H38" s="57"/>
      <c r="I38" s="58"/>
      <c r="J38" s="63"/>
      <c r="K38" s="61"/>
    </row>
    <row r="39" spans="1:11" ht="14.25" customHeight="1">
      <c r="A39" s="8"/>
      <c r="B39" s="69"/>
      <c r="C39" s="68"/>
      <c r="D39" s="66"/>
      <c r="E39" s="72"/>
      <c r="F39" s="73"/>
      <c r="G39" s="73"/>
      <c r="H39" s="74"/>
      <c r="I39" s="74"/>
      <c r="J39" s="75"/>
      <c r="K39" s="61"/>
    </row>
    <row r="40" spans="1:11" ht="14.25" customHeight="1">
      <c r="A40" s="8"/>
      <c r="B40" s="69"/>
      <c r="C40" s="68"/>
      <c r="D40" s="66"/>
      <c r="E40" s="72"/>
      <c r="F40" s="73"/>
      <c r="G40" s="73"/>
      <c r="H40" s="74"/>
      <c r="I40" s="74"/>
      <c r="J40" s="75"/>
      <c r="K40" s="61"/>
    </row>
    <row r="41" spans="1:11" ht="14.25" customHeight="1">
      <c r="A41" s="8"/>
      <c r="B41" s="69"/>
      <c r="C41" s="68"/>
      <c r="D41" s="70"/>
      <c r="E41" s="51"/>
      <c r="F41" s="52"/>
      <c r="G41" s="53"/>
      <c r="H41" s="57"/>
      <c r="I41" s="58"/>
      <c r="J41" s="63"/>
      <c r="K41" s="61"/>
    </row>
    <row r="42" spans="1:11" ht="14.25" customHeight="1">
      <c r="A42" s="8"/>
      <c r="B42" s="69"/>
      <c r="C42" s="68"/>
      <c r="D42" s="70"/>
      <c r="E42" s="51"/>
      <c r="F42" s="52"/>
      <c r="G42" s="53"/>
      <c r="H42" s="57"/>
      <c r="I42" s="58"/>
      <c r="J42" s="63"/>
      <c r="K42" s="61"/>
    </row>
    <row r="43" spans="1:11" ht="14.25" customHeight="1">
      <c r="A43" s="8"/>
      <c r="B43" s="69"/>
      <c r="C43" s="68"/>
      <c r="D43" s="70"/>
      <c r="E43" s="51"/>
      <c r="F43" s="52"/>
      <c r="G43" s="53"/>
      <c r="H43" s="57"/>
      <c r="I43" s="58"/>
      <c r="J43" s="63"/>
      <c r="K43" s="61"/>
    </row>
    <row r="44" spans="1:11">
      <c r="A44" s="8"/>
      <c r="B44" s="56"/>
      <c r="C44" s="50"/>
      <c r="D44" s="60"/>
      <c r="E44" s="52"/>
      <c r="F44" s="52"/>
      <c r="G44" s="53"/>
      <c r="H44" s="57"/>
      <c r="I44" s="58"/>
      <c r="J44" s="54"/>
      <c r="K44" s="61"/>
    </row>
    <row r="45" spans="1:11">
      <c r="A45" s="9"/>
      <c r="B45" s="10"/>
      <c r="C45" s="11"/>
      <c r="D45" s="12"/>
      <c r="E45" s="13"/>
      <c r="F45" s="13"/>
      <c r="G45" s="13"/>
      <c r="H45" s="14"/>
      <c r="I45" s="15"/>
      <c r="J45" s="15"/>
      <c r="K45" s="16"/>
    </row>
    <row r="46" spans="1:11" ht="15.75" thickBot="1">
      <c r="A46" s="17"/>
      <c r="B46" s="18" t="s">
        <v>12</v>
      </c>
      <c r="C46" s="19"/>
      <c r="D46" s="20"/>
      <c r="E46" s="21"/>
      <c r="F46" s="22"/>
      <c r="G46" s="23"/>
      <c r="H46" s="24"/>
      <c r="I46" s="24"/>
      <c r="J46" s="62">
        <f>SUM(J15:J45)</f>
        <v>382.90499999999997</v>
      </c>
      <c r="K46" s="25"/>
    </row>
    <row r="47" spans="1:11" ht="16.5" thickTop="1">
      <c r="A47" s="26"/>
      <c r="B47" s="27" t="s">
        <v>13</v>
      </c>
      <c r="C47" s="28"/>
      <c r="D47" s="29"/>
      <c r="E47" s="30"/>
      <c r="F47" s="1"/>
      <c r="G47" s="30"/>
      <c r="H47" s="28"/>
      <c r="I47" s="28"/>
      <c r="J47" s="28" t="s">
        <v>14</v>
      </c>
      <c r="K47" s="31"/>
    </row>
    <row r="48" spans="1:11" ht="15.75">
      <c r="A48" s="32"/>
      <c r="B48" s="33" t="s">
        <v>15</v>
      </c>
      <c r="C48" s="34"/>
      <c r="D48" s="35"/>
      <c r="E48" s="34"/>
      <c r="F48" s="3"/>
      <c r="G48" s="34"/>
      <c r="H48" s="34"/>
      <c r="I48" s="34"/>
      <c r="J48" s="33" t="s">
        <v>16</v>
      </c>
      <c r="K48" s="36"/>
    </row>
  </sheetData>
  <mergeCells count="23">
    <mergeCell ref="F11:F12"/>
    <mergeCell ref="G11:G12"/>
    <mergeCell ref="H11:I11"/>
    <mergeCell ref="J11:J12"/>
    <mergeCell ref="K11:K12"/>
    <mergeCell ref="B14:J14"/>
    <mergeCell ref="A9:C9"/>
    <mergeCell ref="D9:E9"/>
    <mergeCell ref="F9:G9"/>
    <mergeCell ref="H9:J9"/>
    <mergeCell ref="A10:J10"/>
    <mergeCell ref="A11:A12"/>
    <mergeCell ref="B11:B12"/>
    <mergeCell ref="C11:C12"/>
    <mergeCell ref="D11:D12"/>
    <mergeCell ref="E11:E12"/>
    <mergeCell ref="A1:B7"/>
    <mergeCell ref="C1:G7"/>
    <mergeCell ref="H1:I7"/>
    <mergeCell ref="J1:K7"/>
    <mergeCell ref="A8:C8"/>
    <mergeCell ref="D8:E8"/>
    <mergeCell ref="F8:J8"/>
  </mergeCells>
  <printOptions horizontalCentered="1"/>
  <pageMargins left="0" right="0" top="0" bottom="0" header="0" footer="0"/>
  <pageSetup paperSize="9" scale="91" fitToHeight="0" orientation="portrait" r:id="rId1"/>
  <headerFooter>
    <oddFooter>&amp;Rاعداد  : 
مهندس المقاول :</oddFooter>
  </headerFooter>
  <drawing r:id="rId2"/>
  <legacyDrawing r:id="rId3"/>
  <oleObjects>
    <mc:AlternateContent xmlns:mc="http://schemas.openxmlformats.org/markup-compatibility/2006">
      <mc:Choice Requires="x14">
        <oleObject progId="StaticMetafile" shapeId="140289" r:id="rId4">
          <objectPr defaultSize="0" autoPict="0" r:id="rId5">
            <anchor moveWithCells="1">
              <from>
                <xdr:col>7</xdr:col>
                <xdr:colOff>114300</xdr:colOff>
                <xdr:row>0</xdr:row>
                <xdr:rowOff>28575</xdr:rowOff>
              </from>
              <to>
                <xdr:col>8</xdr:col>
                <xdr:colOff>409575</xdr:colOff>
                <xdr:row>5</xdr:row>
                <xdr:rowOff>114300</xdr:rowOff>
              </to>
            </anchor>
          </objectPr>
        </oleObject>
      </mc:Choice>
      <mc:Fallback>
        <oleObject progId="StaticMetafile" shapeId="140289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7CE0B-AAC8-4CE9-9A9D-79EC4E909721}">
  <sheetPr>
    <pageSetUpPr fitToPage="1"/>
  </sheetPr>
  <dimension ref="A1:K51"/>
  <sheetViews>
    <sheetView view="pageBreakPreview" topLeftCell="A4" zoomScale="115" zoomScaleSheetLayoutView="115" workbookViewId="0">
      <selection activeCell="B30" sqref="B30"/>
    </sheetView>
  </sheetViews>
  <sheetFormatPr defaultRowHeight="15"/>
  <cols>
    <col min="1" max="1" width="4.7109375" customWidth="1"/>
    <col min="2" max="2" width="26.42578125" bestFit="1" customWidth="1"/>
    <col min="3" max="3" width="6" customWidth="1"/>
    <col min="4" max="4" width="5.5703125" style="37" customWidth="1"/>
    <col min="5" max="5" width="11" style="38" customWidth="1"/>
    <col min="6" max="6" width="6.7109375" style="38" customWidth="1"/>
    <col min="7" max="7" width="9.28515625" style="38" customWidth="1"/>
    <col min="8" max="8" width="6" style="38" customWidth="1"/>
    <col min="9" max="9" width="7.7109375" style="38" customWidth="1"/>
    <col min="10" max="10" width="11.5703125" style="38" customWidth="1"/>
    <col min="11" max="11" width="20.42578125" customWidth="1"/>
  </cols>
  <sheetData>
    <row r="1" spans="1:11" s="2" customFormat="1" ht="11.25" customHeight="1" thickTop="1">
      <c r="A1" s="97"/>
      <c r="B1" s="98"/>
      <c r="C1" s="97"/>
      <c r="D1" s="103"/>
      <c r="E1" s="103"/>
      <c r="F1" s="103"/>
      <c r="G1" s="98"/>
      <c r="H1" s="106"/>
      <c r="I1" s="107"/>
      <c r="J1" s="112"/>
      <c r="K1" s="107"/>
    </row>
    <row r="2" spans="1:11" s="2" customFormat="1" ht="11.25" customHeight="1">
      <c r="A2" s="99"/>
      <c r="B2" s="100"/>
      <c r="C2" s="99"/>
      <c r="D2" s="104"/>
      <c r="E2" s="104"/>
      <c r="F2" s="104"/>
      <c r="G2" s="100"/>
      <c r="H2" s="108"/>
      <c r="I2" s="109"/>
      <c r="J2" s="113"/>
      <c r="K2" s="109"/>
    </row>
    <row r="3" spans="1:11" s="2" customFormat="1" ht="11.25" customHeight="1">
      <c r="A3" s="99"/>
      <c r="B3" s="100"/>
      <c r="C3" s="99"/>
      <c r="D3" s="104"/>
      <c r="E3" s="104"/>
      <c r="F3" s="104"/>
      <c r="G3" s="100"/>
      <c r="H3" s="108"/>
      <c r="I3" s="109"/>
      <c r="J3" s="113"/>
      <c r="K3" s="109"/>
    </row>
    <row r="4" spans="1:11" s="4" customFormat="1" ht="11.25" customHeight="1">
      <c r="A4" s="99"/>
      <c r="B4" s="100"/>
      <c r="C4" s="99"/>
      <c r="D4" s="104"/>
      <c r="E4" s="104"/>
      <c r="F4" s="104"/>
      <c r="G4" s="100"/>
      <c r="H4" s="108"/>
      <c r="I4" s="109"/>
      <c r="J4" s="113"/>
      <c r="K4" s="109"/>
    </row>
    <row r="5" spans="1:11" s="4" customFormat="1" ht="11.25" customHeight="1">
      <c r="A5" s="99"/>
      <c r="B5" s="100"/>
      <c r="C5" s="99"/>
      <c r="D5" s="104"/>
      <c r="E5" s="104"/>
      <c r="F5" s="104"/>
      <c r="G5" s="100"/>
      <c r="H5" s="108"/>
      <c r="I5" s="109"/>
      <c r="J5" s="113"/>
      <c r="K5" s="109"/>
    </row>
    <row r="6" spans="1:11" s="4" customFormat="1" ht="11.25" customHeight="1">
      <c r="A6" s="99"/>
      <c r="B6" s="100"/>
      <c r="C6" s="99"/>
      <c r="D6" s="104"/>
      <c r="E6" s="104"/>
      <c r="F6" s="104"/>
      <c r="G6" s="100"/>
      <c r="H6" s="108"/>
      <c r="I6" s="109"/>
      <c r="J6" s="113"/>
      <c r="K6" s="109"/>
    </row>
    <row r="7" spans="1:11" s="4" customFormat="1" ht="11.25" customHeight="1" thickBot="1">
      <c r="A7" s="101"/>
      <c r="B7" s="102"/>
      <c r="C7" s="101"/>
      <c r="D7" s="105"/>
      <c r="E7" s="105"/>
      <c r="F7" s="105"/>
      <c r="G7" s="102"/>
      <c r="H7" s="110"/>
      <c r="I7" s="111"/>
      <c r="J7" s="114"/>
      <c r="K7" s="111"/>
    </row>
    <row r="8" spans="1:11" s="4" customFormat="1" ht="27.75" customHeight="1" thickTop="1">
      <c r="A8" s="115" t="s">
        <v>29</v>
      </c>
      <c r="B8" s="116"/>
      <c r="C8" s="116"/>
      <c r="D8" s="116" t="s">
        <v>20</v>
      </c>
      <c r="E8" s="116"/>
      <c r="F8" s="116" t="s">
        <v>26</v>
      </c>
      <c r="G8" s="116"/>
      <c r="H8" s="116"/>
      <c r="I8" s="116"/>
      <c r="J8" s="116"/>
      <c r="K8" s="40" t="s">
        <v>19</v>
      </c>
    </row>
    <row r="9" spans="1:11" s="4" customFormat="1" ht="27" customHeight="1">
      <c r="A9" s="86" t="s">
        <v>18</v>
      </c>
      <c r="B9" s="87"/>
      <c r="C9" s="87"/>
      <c r="D9" s="88"/>
      <c r="E9" s="88"/>
      <c r="F9" s="89" t="s">
        <v>22</v>
      </c>
      <c r="G9" s="89"/>
      <c r="H9" s="90" t="s">
        <v>23</v>
      </c>
      <c r="I9" s="89"/>
      <c r="J9" s="89"/>
      <c r="K9" s="41" t="s">
        <v>21</v>
      </c>
    </row>
    <row r="10" spans="1:11" s="4" customFormat="1" ht="36" customHeight="1" thickBot="1">
      <c r="A10" s="91" t="s">
        <v>30</v>
      </c>
      <c r="B10" s="92"/>
      <c r="C10" s="92"/>
      <c r="D10" s="92"/>
      <c r="E10" s="92"/>
      <c r="F10" s="92"/>
      <c r="G10" s="92"/>
      <c r="H10" s="92"/>
      <c r="I10" s="92"/>
      <c r="J10" s="92"/>
      <c r="K10" s="42" t="s">
        <v>17</v>
      </c>
    </row>
    <row r="11" spans="1:11" s="2" customFormat="1" ht="14.25" customHeight="1" thickTop="1">
      <c r="A11" s="93" t="s">
        <v>0</v>
      </c>
      <c r="B11" s="95" t="s">
        <v>1</v>
      </c>
      <c r="C11" s="95" t="s">
        <v>2</v>
      </c>
      <c r="D11" s="95" t="s">
        <v>3</v>
      </c>
      <c r="E11" s="80" t="s">
        <v>4</v>
      </c>
      <c r="F11" s="80" t="s">
        <v>5</v>
      </c>
      <c r="G11" s="80" t="s">
        <v>6</v>
      </c>
      <c r="H11" s="82" t="s">
        <v>7</v>
      </c>
      <c r="I11" s="83"/>
      <c r="J11" s="80" t="s">
        <v>8</v>
      </c>
      <c r="K11" s="84" t="s">
        <v>9</v>
      </c>
    </row>
    <row r="12" spans="1:11" s="2" customFormat="1" ht="14.25" customHeight="1">
      <c r="A12" s="94"/>
      <c r="B12" s="96"/>
      <c r="C12" s="96"/>
      <c r="D12" s="96"/>
      <c r="E12" s="81"/>
      <c r="F12" s="81"/>
      <c r="G12" s="81"/>
      <c r="H12" s="76" t="s">
        <v>10</v>
      </c>
      <c r="I12" s="76" t="s">
        <v>11</v>
      </c>
      <c r="J12" s="81"/>
      <c r="K12" s="85"/>
    </row>
    <row r="13" spans="1:11">
      <c r="A13" s="5"/>
      <c r="B13" s="43"/>
      <c r="C13" s="44"/>
      <c r="D13" s="44"/>
      <c r="E13" s="45"/>
      <c r="F13" s="46"/>
      <c r="G13" s="45"/>
      <c r="H13" s="45"/>
      <c r="I13" s="45"/>
      <c r="J13" s="47"/>
      <c r="K13" s="48"/>
    </row>
    <row r="14" spans="1:11" ht="18.75">
      <c r="A14" s="6"/>
      <c r="B14" s="117" t="s">
        <v>31</v>
      </c>
      <c r="C14" s="118"/>
      <c r="D14" s="118"/>
      <c r="E14" s="118"/>
      <c r="F14" s="118"/>
      <c r="G14" s="118"/>
      <c r="H14" s="118"/>
      <c r="I14" s="118"/>
      <c r="J14" s="119"/>
      <c r="K14" s="55"/>
    </row>
    <row r="15" spans="1:11" ht="15.75">
      <c r="A15" s="8"/>
      <c r="B15" s="67"/>
      <c r="C15" s="78"/>
      <c r="D15" s="50"/>
      <c r="E15" s="51"/>
      <c r="F15" s="52"/>
      <c r="G15" s="53"/>
      <c r="H15" s="57"/>
      <c r="I15" s="58"/>
      <c r="J15" s="63"/>
      <c r="K15" s="55"/>
    </row>
    <row r="16" spans="1:11">
      <c r="A16" s="8"/>
      <c r="B16" s="59"/>
      <c r="C16" s="78"/>
      <c r="D16" s="50"/>
      <c r="E16" s="51"/>
      <c r="F16" s="52"/>
      <c r="G16" s="53"/>
      <c r="H16" s="57"/>
      <c r="I16" s="58"/>
      <c r="J16" s="63"/>
      <c r="K16" s="55"/>
    </row>
    <row r="17" spans="1:11">
      <c r="A17" s="8"/>
      <c r="B17" s="59" t="s">
        <v>31</v>
      </c>
      <c r="C17" s="77" t="s">
        <v>24</v>
      </c>
      <c r="D17" s="50">
        <v>1</v>
      </c>
      <c r="E17" s="51">
        <v>21.15</v>
      </c>
      <c r="F17" s="52">
        <v>46.4</v>
      </c>
      <c r="G17" s="52">
        <v>1</v>
      </c>
      <c r="H17" s="57"/>
      <c r="I17" s="58"/>
      <c r="J17" s="63">
        <f>G17*F17*E17*D17</f>
        <v>981.3599999999999</v>
      </c>
      <c r="K17" s="55"/>
    </row>
    <row r="18" spans="1:11">
      <c r="A18" s="8"/>
      <c r="B18" s="138" t="s">
        <v>48</v>
      </c>
      <c r="C18" s="77" t="s">
        <v>24</v>
      </c>
      <c r="D18" s="50">
        <v>2</v>
      </c>
      <c r="E18" s="51">
        <v>21.15</v>
      </c>
      <c r="F18" s="52">
        <v>1</v>
      </c>
      <c r="G18" s="71">
        <v>0.1</v>
      </c>
      <c r="H18" s="57"/>
      <c r="I18" s="58"/>
      <c r="J18" s="63">
        <f t="shared" ref="J18:J19" si="0">G18*F18*E18*D18</f>
        <v>4.2299999999999995</v>
      </c>
      <c r="K18" s="55"/>
    </row>
    <row r="19" spans="1:11">
      <c r="A19" s="8"/>
      <c r="B19" s="137"/>
      <c r="C19" s="77" t="s">
        <v>24</v>
      </c>
      <c r="D19" s="50">
        <v>2</v>
      </c>
      <c r="E19" s="52">
        <v>46.4</v>
      </c>
      <c r="F19" s="52">
        <v>1</v>
      </c>
      <c r="G19" s="71">
        <v>0.1</v>
      </c>
      <c r="H19" s="57"/>
      <c r="I19" s="58"/>
      <c r="J19" s="63">
        <f t="shared" si="0"/>
        <v>9.2799999999999994</v>
      </c>
      <c r="K19" s="55"/>
    </row>
    <row r="20" spans="1:11">
      <c r="A20" s="8"/>
      <c r="B20" s="59"/>
      <c r="C20" s="77"/>
      <c r="D20" s="50"/>
      <c r="E20" s="51"/>
      <c r="F20" s="52"/>
      <c r="G20" s="71"/>
      <c r="H20" s="57"/>
      <c r="I20" s="58"/>
      <c r="J20" s="63"/>
      <c r="K20" s="55"/>
    </row>
    <row r="21" spans="1:11">
      <c r="A21" s="8"/>
      <c r="B21" s="139" t="s">
        <v>49</v>
      </c>
      <c r="C21" s="68" t="s">
        <v>40</v>
      </c>
      <c r="D21" s="120">
        <v>-4</v>
      </c>
      <c r="E21" s="72">
        <v>3</v>
      </c>
      <c r="F21" s="73">
        <v>1</v>
      </c>
      <c r="G21" s="141">
        <v>0.1</v>
      </c>
      <c r="H21" s="74"/>
      <c r="I21" s="74"/>
      <c r="J21" s="75">
        <f t="shared" ref="J21:J22" si="1">G21*F21*E21*D21</f>
        <v>-1.2000000000000002</v>
      </c>
      <c r="K21" s="55"/>
    </row>
    <row r="22" spans="1:11">
      <c r="A22" s="8"/>
      <c r="B22" s="140"/>
      <c r="C22" s="68" t="s">
        <v>40</v>
      </c>
      <c r="D22" s="120">
        <v>-1</v>
      </c>
      <c r="E22" s="72">
        <v>1.25</v>
      </c>
      <c r="F22" s="73">
        <v>1</v>
      </c>
      <c r="G22" s="141">
        <v>0.1</v>
      </c>
      <c r="H22" s="74"/>
      <c r="I22" s="74"/>
      <c r="J22" s="75">
        <f t="shared" si="1"/>
        <v>-0.125</v>
      </c>
      <c r="K22" s="55"/>
    </row>
    <row r="23" spans="1:11">
      <c r="A23" s="8"/>
      <c r="B23" s="59"/>
      <c r="C23" s="50"/>
      <c r="D23" s="50"/>
      <c r="E23" s="51"/>
      <c r="F23" s="52"/>
      <c r="G23" s="53"/>
      <c r="H23" s="57"/>
      <c r="I23" s="58"/>
      <c r="J23" s="63"/>
      <c r="K23" s="55"/>
    </row>
    <row r="24" spans="1:11">
      <c r="A24" s="8"/>
      <c r="B24" s="69" t="s">
        <v>32</v>
      </c>
      <c r="C24" s="77" t="s">
        <v>24</v>
      </c>
      <c r="D24" s="120">
        <v>-26</v>
      </c>
      <c r="E24" s="72">
        <v>0.4</v>
      </c>
      <c r="F24" s="73">
        <v>0.5</v>
      </c>
      <c r="G24" s="73">
        <v>1</v>
      </c>
      <c r="H24" s="74"/>
      <c r="I24" s="74"/>
      <c r="J24" s="75">
        <f>G24*F24*E24*D24</f>
        <v>-5.2</v>
      </c>
      <c r="K24" s="55"/>
    </row>
    <row r="25" spans="1:11">
      <c r="A25" s="8"/>
      <c r="B25" s="121"/>
      <c r="C25" s="122"/>
      <c r="D25" s="122"/>
      <c r="E25" s="123"/>
      <c r="F25" s="124"/>
      <c r="G25" s="125"/>
      <c r="H25" s="126"/>
      <c r="I25" s="126"/>
      <c r="J25" s="127"/>
      <c r="K25" s="128"/>
    </row>
    <row r="26" spans="1:11">
      <c r="A26" s="8"/>
      <c r="B26" s="121" t="s">
        <v>33</v>
      </c>
      <c r="C26" s="129"/>
      <c r="D26" s="122"/>
      <c r="E26" s="123"/>
      <c r="F26" s="124"/>
      <c r="G26" s="124"/>
      <c r="H26" s="126"/>
      <c r="I26" s="126"/>
      <c r="J26" s="127"/>
      <c r="K26" s="128"/>
    </row>
    <row r="27" spans="1:11">
      <c r="A27" s="8"/>
      <c r="B27" s="121"/>
      <c r="C27" s="130"/>
      <c r="D27" s="122"/>
      <c r="E27" s="123"/>
      <c r="F27" s="124"/>
      <c r="G27" s="125"/>
      <c r="H27" s="126"/>
      <c r="I27" s="126"/>
      <c r="J27" s="127"/>
      <c r="K27" s="128"/>
    </row>
    <row r="28" spans="1:11">
      <c r="A28" s="8"/>
      <c r="B28" s="59" t="s">
        <v>27</v>
      </c>
      <c r="C28" s="129" t="s">
        <v>36</v>
      </c>
      <c r="D28" s="122">
        <v>4</v>
      </c>
      <c r="E28" s="123">
        <v>3</v>
      </c>
      <c r="F28" s="124">
        <v>0.2</v>
      </c>
      <c r="G28" s="125">
        <v>1</v>
      </c>
      <c r="H28" s="126"/>
      <c r="I28" s="126"/>
      <c r="J28" s="127">
        <f>G28*F28*E28*D28</f>
        <v>2.4000000000000004</v>
      </c>
      <c r="K28" s="128"/>
    </row>
    <row r="29" spans="1:11">
      <c r="A29" s="8"/>
      <c r="B29" s="59"/>
      <c r="C29" s="129"/>
      <c r="D29" s="122"/>
      <c r="E29" s="123"/>
      <c r="F29" s="124"/>
      <c r="G29" s="124"/>
      <c r="H29" s="126"/>
      <c r="I29" s="126"/>
      <c r="J29" s="127"/>
      <c r="K29" s="128"/>
    </row>
    <row r="30" spans="1:11" ht="14.25" customHeight="1">
      <c r="A30" s="8"/>
      <c r="B30" s="59" t="s">
        <v>28</v>
      </c>
      <c r="C30" s="129" t="s">
        <v>36</v>
      </c>
      <c r="D30" s="122">
        <v>1</v>
      </c>
      <c r="E30" s="123">
        <v>1.25</v>
      </c>
      <c r="F30" s="124">
        <v>0.2</v>
      </c>
      <c r="G30" s="124">
        <v>1</v>
      </c>
      <c r="H30" s="126"/>
      <c r="I30" s="126"/>
      <c r="J30" s="127">
        <f>G30*F30*E30*D30</f>
        <v>0.25</v>
      </c>
      <c r="K30" s="128"/>
    </row>
    <row r="31" spans="1:11" ht="14.25" customHeight="1">
      <c r="A31" s="8"/>
      <c r="B31" s="59"/>
      <c r="C31" s="129"/>
      <c r="D31" s="122"/>
      <c r="E31" s="123"/>
      <c r="F31" s="124"/>
      <c r="G31" s="124"/>
      <c r="H31" s="126"/>
      <c r="I31" s="126"/>
      <c r="J31" s="127"/>
      <c r="K31" s="131"/>
    </row>
    <row r="32" spans="1:11" ht="14.25" customHeight="1">
      <c r="A32" s="8"/>
      <c r="B32" s="59" t="s">
        <v>34</v>
      </c>
      <c r="C32" s="129" t="s">
        <v>36</v>
      </c>
      <c r="D32" s="122">
        <v>4</v>
      </c>
      <c r="E32" s="123">
        <v>3</v>
      </c>
      <c r="F32" s="124">
        <v>3</v>
      </c>
      <c r="G32" s="125">
        <v>1</v>
      </c>
      <c r="H32" s="126"/>
      <c r="I32" s="126"/>
      <c r="J32" s="127">
        <f>G32*F32*E32*D32</f>
        <v>36</v>
      </c>
      <c r="K32" s="131"/>
    </row>
    <row r="33" spans="1:11" ht="14.25" customHeight="1">
      <c r="A33" s="8"/>
      <c r="B33" s="132"/>
      <c r="C33" s="133"/>
      <c r="D33" s="122"/>
      <c r="E33" s="123"/>
      <c r="F33" s="124"/>
      <c r="G33" s="125"/>
      <c r="H33" s="126"/>
      <c r="I33" s="126"/>
      <c r="J33" s="127"/>
      <c r="K33" s="131"/>
    </row>
    <row r="34" spans="1:11" ht="14.25" customHeight="1">
      <c r="A34" s="8"/>
      <c r="B34" s="59" t="s">
        <v>35</v>
      </c>
      <c r="C34" s="129" t="s">
        <v>36</v>
      </c>
      <c r="D34" s="122">
        <v>1</v>
      </c>
      <c r="E34" s="123">
        <v>1.8</v>
      </c>
      <c r="F34" s="124">
        <v>0.9</v>
      </c>
      <c r="G34" s="124">
        <v>1</v>
      </c>
      <c r="H34" s="126"/>
      <c r="I34" s="126"/>
      <c r="J34" s="127">
        <f>G34*F34*E34*D34</f>
        <v>1.62</v>
      </c>
      <c r="K34" s="131"/>
    </row>
    <row r="35" spans="1:11" ht="14.25" customHeight="1">
      <c r="A35" s="8"/>
      <c r="B35" s="59"/>
      <c r="C35" s="122"/>
      <c r="D35" s="122"/>
      <c r="E35" s="123"/>
      <c r="F35" s="124"/>
      <c r="G35" s="125"/>
      <c r="H35" s="126"/>
      <c r="I35" s="126"/>
      <c r="J35" s="127"/>
      <c r="K35" s="131"/>
    </row>
    <row r="36" spans="1:11" ht="14.25" customHeight="1">
      <c r="A36" s="8"/>
      <c r="B36" s="59"/>
      <c r="C36" s="129"/>
      <c r="D36" s="122"/>
      <c r="E36" s="123"/>
      <c r="F36" s="124"/>
      <c r="G36" s="124"/>
      <c r="H36" s="126"/>
      <c r="I36" s="126"/>
      <c r="J36" s="127"/>
      <c r="K36" s="131"/>
    </row>
    <row r="37" spans="1:11" ht="14.25" customHeight="1">
      <c r="A37" s="8"/>
      <c r="B37" s="59"/>
      <c r="C37" s="68"/>
      <c r="D37" s="50"/>
      <c r="E37" s="51"/>
      <c r="F37" s="52"/>
      <c r="G37" s="52"/>
      <c r="H37" s="57"/>
      <c r="I37" s="58"/>
      <c r="J37" s="63"/>
      <c r="K37" s="61"/>
    </row>
    <row r="38" spans="1:11" ht="14.25" customHeight="1">
      <c r="A38" s="8"/>
      <c r="B38" s="65"/>
      <c r="C38" s="77"/>
      <c r="D38" s="50"/>
      <c r="E38" s="51"/>
      <c r="F38" s="52"/>
      <c r="G38" s="52"/>
      <c r="H38" s="57"/>
      <c r="I38" s="58"/>
      <c r="J38" s="63"/>
      <c r="K38" s="61"/>
    </row>
    <row r="39" spans="1:11" ht="14.25" customHeight="1">
      <c r="A39" s="8"/>
      <c r="B39" s="69"/>
      <c r="C39" s="50"/>
      <c r="D39" s="50"/>
      <c r="E39" s="51"/>
      <c r="F39" s="52"/>
      <c r="G39" s="53"/>
      <c r="H39" s="57"/>
      <c r="I39" s="58"/>
      <c r="J39" s="63"/>
      <c r="K39" s="61"/>
    </row>
    <row r="40" spans="1:11" ht="14.25" customHeight="1">
      <c r="A40" s="8"/>
      <c r="B40" s="79"/>
      <c r="C40" s="77"/>
      <c r="D40" s="50"/>
      <c r="E40" s="51"/>
      <c r="F40" s="52"/>
      <c r="G40" s="52"/>
      <c r="H40" s="57"/>
      <c r="I40" s="58"/>
      <c r="J40" s="63"/>
      <c r="K40" s="61"/>
    </row>
    <row r="41" spans="1:11" ht="14.25" customHeight="1">
      <c r="A41" s="8"/>
      <c r="B41" s="65"/>
      <c r="C41" s="50"/>
      <c r="D41" s="50"/>
      <c r="E41" s="51"/>
      <c r="F41" s="52"/>
      <c r="G41" s="53"/>
      <c r="H41" s="57"/>
      <c r="I41" s="58"/>
      <c r="J41" s="63"/>
      <c r="K41" s="61"/>
    </row>
    <row r="42" spans="1:11" ht="14.25" customHeight="1">
      <c r="A42" s="8"/>
      <c r="B42" s="69"/>
      <c r="C42" s="68"/>
      <c r="D42" s="66"/>
      <c r="E42" s="72"/>
      <c r="F42" s="73"/>
      <c r="G42" s="73"/>
      <c r="H42" s="74"/>
      <c r="I42" s="74"/>
      <c r="J42" s="75"/>
      <c r="K42" s="61"/>
    </row>
    <row r="43" spans="1:11" ht="14.25" customHeight="1">
      <c r="A43" s="8"/>
      <c r="B43" s="69"/>
      <c r="C43" s="68"/>
      <c r="D43" s="66"/>
      <c r="E43" s="72"/>
      <c r="F43" s="73"/>
      <c r="G43" s="73"/>
      <c r="H43" s="74"/>
      <c r="I43" s="74"/>
      <c r="J43" s="75"/>
      <c r="K43" s="61"/>
    </row>
    <row r="44" spans="1:11" ht="14.25" customHeight="1">
      <c r="A44" s="8"/>
      <c r="B44" s="69"/>
      <c r="C44" s="68"/>
      <c r="D44" s="70"/>
      <c r="E44" s="51"/>
      <c r="F44" s="52"/>
      <c r="G44" s="53"/>
      <c r="H44" s="57"/>
      <c r="I44" s="58"/>
      <c r="J44" s="63"/>
      <c r="K44" s="61"/>
    </row>
    <row r="45" spans="1:11" ht="14.25" customHeight="1">
      <c r="A45" s="8"/>
      <c r="B45" s="69"/>
      <c r="C45" s="68"/>
      <c r="D45" s="70"/>
      <c r="E45" s="51"/>
      <c r="F45" s="52"/>
      <c r="G45" s="53"/>
      <c r="H45" s="57"/>
      <c r="I45" s="58"/>
      <c r="J45" s="63"/>
      <c r="K45" s="61"/>
    </row>
    <row r="46" spans="1:11" ht="14.25" customHeight="1">
      <c r="A46" s="8"/>
      <c r="B46" s="69"/>
      <c r="C46" s="68"/>
      <c r="D46" s="70"/>
      <c r="E46" s="51"/>
      <c r="F46" s="52"/>
      <c r="G46" s="53"/>
      <c r="H46" s="57"/>
      <c r="I46" s="58"/>
      <c r="J46" s="63"/>
      <c r="K46" s="61"/>
    </row>
    <row r="47" spans="1:11">
      <c r="A47" s="8"/>
      <c r="B47" s="56"/>
      <c r="C47" s="50"/>
      <c r="D47" s="60"/>
      <c r="E47" s="52"/>
      <c r="F47" s="52"/>
      <c r="G47" s="53"/>
      <c r="H47" s="57"/>
      <c r="I47" s="58"/>
      <c r="J47" s="54"/>
      <c r="K47" s="61"/>
    </row>
    <row r="48" spans="1:11">
      <c r="A48" s="9"/>
      <c r="B48" s="10"/>
      <c r="C48" s="11"/>
      <c r="D48" s="12"/>
      <c r="E48" s="13"/>
      <c r="F48" s="13"/>
      <c r="G48" s="13"/>
      <c r="H48" s="14"/>
      <c r="I48" s="15"/>
      <c r="J48" s="15"/>
      <c r="K48" s="16"/>
    </row>
    <row r="49" spans="1:11" ht="15.75" thickBot="1">
      <c r="A49" s="17"/>
      <c r="B49" s="18" t="s">
        <v>12</v>
      </c>
      <c r="C49" s="19"/>
      <c r="D49" s="20"/>
      <c r="E49" s="21"/>
      <c r="F49" s="22"/>
      <c r="G49" s="23"/>
      <c r="H49" s="24"/>
      <c r="I49" s="24"/>
      <c r="J49" s="62">
        <f>SUM(J15:J48)</f>
        <v>1028.6149999999998</v>
      </c>
      <c r="K49" s="25"/>
    </row>
    <row r="50" spans="1:11" ht="16.5" thickTop="1">
      <c r="A50" s="26"/>
      <c r="B50" s="27" t="s">
        <v>13</v>
      </c>
      <c r="C50" s="28"/>
      <c r="D50" s="29"/>
      <c r="E50" s="30"/>
      <c r="F50" s="1"/>
      <c r="G50" s="30"/>
      <c r="H50" s="28"/>
      <c r="I50" s="28"/>
      <c r="J50" s="28" t="s">
        <v>14</v>
      </c>
      <c r="K50" s="31"/>
    </row>
    <row r="51" spans="1:11" ht="15.75">
      <c r="A51" s="32"/>
      <c r="B51" s="33" t="s">
        <v>15</v>
      </c>
      <c r="C51" s="34"/>
      <c r="D51" s="35"/>
      <c r="E51" s="34"/>
      <c r="F51" s="3"/>
      <c r="G51" s="34"/>
      <c r="H51" s="34"/>
      <c r="I51" s="34"/>
      <c r="J51" s="33" t="s">
        <v>16</v>
      </c>
      <c r="K51" s="36"/>
    </row>
  </sheetData>
  <mergeCells count="25">
    <mergeCell ref="B18:B19"/>
    <mergeCell ref="B21:B22"/>
    <mergeCell ref="F11:F12"/>
    <mergeCell ref="G11:G12"/>
    <mergeCell ref="H11:I11"/>
    <mergeCell ref="J11:J12"/>
    <mergeCell ref="K11:K12"/>
    <mergeCell ref="B14:J14"/>
    <mergeCell ref="A9:C9"/>
    <mergeCell ref="D9:E9"/>
    <mergeCell ref="F9:G9"/>
    <mergeCell ref="H9:J9"/>
    <mergeCell ref="A10:J10"/>
    <mergeCell ref="A11:A12"/>
    <mergeCell ref="B11:B12"/>
    <mergeCell ref="C11:C12"/>
    <mergeCell ref="D11:D12"/>
    <mergeCell ref="E11:E12"/>
    <mergeCell ref="A1:B7"/>
    <mergeCell ref="C1:G7"/>
    <mergeCell ref="H1:I7"/>
    <mergeCell ref="J1:K7"/>
    <mergeCell ref="A8:C8"/>
    <mergeCell ref="D8:E8"/>
    <mergeCell ref="F8:J8"/>
  </mergeCells>
  <printOptions horizontalCentered="1"/>
  <pageMargins left="0" right="0" top="0" bottom="0" header="0" footer="0"/>
  <pageSetup paperSize="9" scale="91" fitToHeight="0" orientation="portrait" r:id="rId1"/>
  <headerFooter>
    <oddFooter>&amp;Rاعداد  : 
مهندس المقاول :</oddFooter>
  </headerFooter>
  <drawing r:id="rId2"/>
  <legacyDrawing r:id="rId3"/>
  <oleObjects>
    <mc:AlternateContent xmlns:mc="http://schemas.openxmlformats.org/markup-compatibility/2006">
      <mc:Choice Requires="x14">
        <oleObject progId="StaticMetafile" shapeId="139265" r:id="rId4">
          <objectPr defaultSize="0" autoPict="0" r:id="rId5">
            <anchor moveWithCells="1">
              <from>
                <xdr:col>7</xdr:col>
                <xdr:colOff>114300</xdr:colOff>
                <xdr:row>0</xdr:row>
                <xdr:rowOff>28575</xdr:rowOff>
              </from>
              <to>
                <xdr:col>8</xdr:col>
                <xdr:colOff>409575</xdr:colOff>
                <xdr:row>5</xdr:row>
                <xdr:rowOff>114300</xdr:rowOff>
              </to>
            </anchor>
          </objectPr>
        </oleObject>
      </mc:Choice>
      <mc:Fallback>
        <oleObject progId="StaticMetafile" shapeId="139265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88EE-F57F-4F94-A21E-CEAB3C5F13C5}">
  <sheetPr>
    <pageSetUpPr fitToPage="1"/>
  </sheetPr>
  <dimension ref="A1:K47"/>
  <sheetViews>
    <sheetView view="pageBreakPreview" topLeftCell="A7" zoomScale="115" zoomScaleSheetLayoutView="115" workbookViewId="0">
      <selection activeCell="B30" sqref="B30"/>
    </sheetView>
  </sheetViews>
  <sheetFormatPr defaultRowHeight="15"/>
  <cols>
    <col min="1" max="1" width="4.7109375" customWidth="1"/>
    <col min="2" max="2" width="26.42578125" bestFit="1" customWidth="1"/>
    <col min="3" max="3" width="6" customWidth="1"/>
    <col min="4" max="4" width="5.5703125" style="37" customWidth="1"/>
    <col min="5" max="5" width="11" style="38" customWidth="1"/>
    <col min="6" max="6" width="6.7109375" style="38" customWidth="1"/>
    <col min="7" max="7" width="9.28515625" style="38" customWidth="1"/>
    <col min="8" max="8" width="6" style="38" customWidth="1"/>
    <col min="9" max="9" width="7.7109375" style="38" customWidth="1"/>
    <col min="10" max="10" width="11.5703125" style="38" customWidth="1"/>
    <col min="11" max="11" width="20.42578125" customWidth="1"/>
  </cols>
  <sheetData>
    <row r="1" spans="1:11" s="2" customFormat="1" ht="11.25" customHeight="1" thickTop="1">
      <c r="A1" s="97"/>
      <c r="B1" s="98"/>
      <c r="C1" s="97"/>
      <c r="D1" s="103"/>
      <c r="E1" s="103"/>
      <c r="F1" s="103"/>
      <c r="G1" s="98"/>
      <c r="H1" s="106"/>
      <c r="I1" s="107"/>
      <c r="J1" s="112"/>
      <c r="K1" s="107"/>
    </row>
    <row r="2" spans="1:11" s="2" customFormat="1" ht="11.25" customHeight="1">
      <c r="A2" s="99"/>
      <c r="B2" s="100"/>
      <c r="C2" s="99"/>
      <c r="D2" s="104"/>
      <c r="E2" s="104"/>
      <c r="F2" s="104"/>
      <c r="G2" s="100"/>
      <c r="H2" s="108"/>
      <c r="I2" s="109"/>
      <c r="J2" s="113"/>
      <c r="K2" s="109"/>
    </row>
    <row r="3" spans="1:11" s="2" customFormat="1" ht="11.25" customHeight="1">
      <c r="A3" s="99"/>
      <c r="B3" s="100"/>
      <c r="C3" s="99"/>
      <c r="D3" s="104"/>
      <c r="E3" s="104"/>
      <c r="F3" s="104"/>
      <c r="G3" s="100"/>
      <c r="H3" s="108"/>
      <c r="I3" s="109"/>
      <c r="J3" s="113"/>
      <c r="K3" s="109"/>
    </row>
    <row r="4" spans="1:11" s="4" customFormat="1" ht="11.25" customHeight="1">
      <c r="A4" s="99"/>
      <c r="B4" s="100"/>
      <c r="C4" s="99"/>
      <c r="D4" s="104"/>
      <c r="E4" s="104"/>
      <c r="F4" s="104"/>
      <c r="G4" s="100"/>
      <c r="H4" s="108"/>
      <c r="I4" s="109"/>
      <c r="J4" s="113"/>
      <c r="K4" s="109"/>
    </row>
    <row r="5" spans="1:11" s="4" customFormat="1" ht="11.25" customHeight="1">
      <c r="A5" s="99"/>
      <c r="B5" s="100"/>
      <c r="C5" s="99"/>
      <c r="D5" s="104"/>
      <c r="E5" s="104"/>
      <c r="F5" s="104"/>
      <c r="G5" s="100"/>
      <c r="H5" s="108"/>
      <c r="I5" s="109"/>
      <c r="J5" s="113"/>
      <c r="K5" s="109"/>
    </row>
    <row r="6" spans="1:11" s="4" customFormat="1" ht="11.25" customHeight="1">
      <c r="A6" s="99"/>
      <c r="B6" s="100"/>
      <c r="C6" s="99"/>
      <c r="D6" s="104"/>
      <c r="E6" s="104"/>
      <c r="F6" s="104"/>
      <c r="G6" s="100"/>
      <c r="H6" s="108"/>
      <c r="I6" s="109"/>
      <c r="J6" s="113"/>
      <c r="K6" s="109"/>
    </row>
    <row r="7" spans="1:11" s="4" customFormat="1" ht="11.25" customHeight="1" thickBot="1">
      <c r="A7" s="101"/>
      <c r="B7" s="102"/>
      <c r="C7" s="101"/>
      <c r="D7" s="105"/>
      <c r="E7" s="105"/>
      <c r="F7" s="105"/>
      <c r="G7" s="102"/>
      <c r="H7" s="110"/>
      <c r="I7" s="111"/>
      <c r="J7" s="114"/>
      <c r="K7" s="111"/>
    </row>
    <row r="8" spans="1:11" s="4" customFormat="1" ht="27.75" customHeight="1" thickTop="1">
      <c r="A8" s="115" t="s">
        <v>29</v>
      </c>
      <c r="B8" s="116"/>
      <c r="C8" s="116"/>
      <c r="D8" s="116" t="s">
        <v>20</v>
      </c>
      <c r="E8" s="116"/>
      <c r="F8" s="116" t="s">
        <v>26</v>
      </c>
      <c r="G8" s="116"/>
      <c r="H8" s="116"/>
      <c r="I8" s="116"/>
      <c r="J8" s="116"/>
      <c r="K8" s="40" t="s">
        <v>19</v>
      </c>
    </row>
    <row r="9" spans="1:11" s="4" customFormat="1" ht="27" customHeight="1">
      <c r="A9" s="86" t="s">
        <v>18</v>
      </c>
      <c r="B9" s="87"/>
      <c r="C9" s="87"/>
      <c r="D9" s="88"/>
      <c r="E9" s="88"/>
      <c r="F9" s="89" t="s">
        <v>22</v>
      </c>
      <c r="G9" s="89"/>
      <c r="H9" s="90" t="s">
        <v>23</v>
      </c>
      <c r="I9" s="89"/>
      <c r="J9" s="89"/>
      <c r="K9" s="41" t="s">
        <v>21</v>
      </c>
    </row>
    <row r="10" spans="1:11" s="4" customFormat="1" ht="36" customHeight="1" thickBot="1">
      <c r="A10" s="91" t="s">
        <v>37</v>
      </c>
      <c r="B10" s="92"/>
      <c r="C10" s="92"/>
      <c r="D10" s="92"/>
      <c r="E10" s="92"/>
      <c r="F10" s="92"/>
      <c r="G10" s="92"/>
      <c r="H10" s="92"/>
      <c r="I10" s="92"/>
      <c r="J10" s="92"/>
      <c r="K10" s="42" t="s">
        <v>17</v>
      </c>
    </row>
    <row r="11" spans="1:11" s="2" customFormat="1" ht="14.25" customHeight="1" thickTop="1">
      <c r="A11" s="93" t="s">
        <v>0</v>
      </c>
      <c r="B11" s="95" t="s">
        <v>1</v>
      </c>
      <c r="C11" s="95" t="s">
        <v>2</v>
      </c>
      <c r="D11" s="95" t="s">
        <v>3</v>
      </c>
      <c r="E11" s="80" t="s">
        <v>4</v>
      </c>
      <c r="F11" s="80" t="s">
        <v>5</v>
      </c>
      <c r="G11" s="80" t="s">
        <v>6</v>
      </c>
      <c r="H11" s="82" t="s">
        <v>7</v>
      </c>
      <c r="I11" s="83"/>
      <c r="J11" s="80" t="s">
        <v>8</v>
      </c>
      <c r="K11" s="84" t="s">
        <v>9</v>
      </c>
    </row>
    <row r="12" spans="1:11" s="2" customFormat="1" ht="14.25" customHeight="1">
      <c r="A12" s="94"/>
      <c r="B12" s="96"/>
      <c r="C12" s="96"/>
      <c r="D12" s="96"/>
      <c r="E12" s="81"/>
      <c r="F12" s="81"/>
      <c r="G12" s="81"/>
      <c r="H12" s="39" t="s">
        <v>10</v>
      </c>
      <c r="I12" s="39" t="s">
        <v>11</v>
      </c>
      <c r="J12" s="81"/>
      <c r="K12" s="85"/>
    </row>
    <row r="13" spans="1:11">
      <c r="A13" s="5"/>
      <c r="B13" s="43"/>
      <c r="C13" s="44"/>
      <c r="D13" s="44"/>
      <c r="E13" s="45"/>
      <c r="F13" s="46"/>
      <c r="G13" s="45"/>
      <c r="H13" s="45"/>
      <c r="I13" s="45"/>
      <c r="J13" s="47"/>
      <c r="K13" s="48"/>
    </row>
    <row r="14" spans="1:11" ht="18.75">
      <c r="A14" s="6"/>
      <c r="B14" s="117" t="s">
        <v>41</v>
      </c>
      <c r="C14" s="118"/>
      <c r="D14" s="118"/>
      <c r="E14" s="118"/>
      <c r="F14" s="118"/>
      <c r="G14" s="118"/>
      <c r="H14" s="118"/>
      <c r="I14" s="118"/>
      <c r="J14" s="119"/>
      <c r="K14" s="55"/>
    </row>
    <row r="15" spans="1:11" ht="15.75">
      <c r="A15" s="8"/>
      <c r="B15" s="67"/>
      <c r="C15" s="7"/>
      <c r="D15" s="50"/>
      <c r="E15" s="51"/>
      <c r="F15" s="52"/>
      <c r="G15" s="53"/>
      <c r="H15" s="57"/>
      <c r="I15" s="58"/>
      <c r="J15" s="63"/>
      <c r="K15" s="55"/>
    </row>
    <row r="16" spans="1:11">
      <c r="A16" s="8"/>
      <c r="B16" s="59"/>
      <c r="C16" s="7"/>
      <c r="D16" s="50"/>
      <c r="E16" s="51"/>
      <c r="F16" s="52"/>
      <c r="G16" s="53"/>
      <c r="H16" s="57"/>
      <c r="I16" s="58"/>
      <c r="J16" s="63"/>
      <c r="K16" s="55"/>
    </row>
    <row r="17" spans="1:11">
      <c r="A17" s="8"/>
      <c r="B17" s="59" t="s">
        <v>38</v>
      </c>
      <c r="C17" s="64" t="s">
        <v>24</v>
      </c>
      <c r="D17" s="50">
        <v>2</v>
      </c>
      <c r="E17" s="52">
        <v>46.6</v>
      </c>
      <c r="F17" s="52">
        <v>1</v>
      </c>
      <c r="G17" s="52">
        <v>3.15</v>
      </c>
      <c r="H17" s="57"/>
      <c r="I17" s="58"/>
      <c r="J17" s="63">
        <f>G17*F17*E17*D17</f>
        <v>293.58</v>
      </c>
      <c r="K17" s="55"/>
    </row>
    <row r="18" spans="1:11">
      <c r="A18" s="8"/>
      <c r="B18" s="59"/>
      <c r="C18" s="77" t="s">
        <v>24</v>
      </c>
      <c r="D18" s="50">
        <v>2</v>
      </c>
      <c r="E18" s="51">
        <v>21.35</v>
      </c>
      <c r="F18" s="51">
        <v>1</v>
      </c>
      <c r="G18" s="52">
        <v>3.15</v>
      </c>
      <c r="H18" s="57"/>
      <c r="I18" s="58"/>
      <c r="J18" s="63">
        <f>G18*F18*E18*D18</f>
        <v>134.505</v>
      </c>
      <c r="K18" s="55"/>
    </row>
    <row r="19" spans="1:11">
      <c r="A19" s="8"/>
      <c r="B19" s="59"/>
      <c r="C19" s="77"/>
      <c r="D19" s="50"/>
      <c r="E19" s="51"/>
      <c r="F19" s="51"/>
      <c r="G19" s="52"/>
      <c r="H19" s="57"/>
      <c r="I19" s="58"/>
      <c r="J19" s="63"/>
      <c r="K19" s="55"/>
    </row>
    <row r="20" spans="1:11">
      <c r="A20" s="8"/>
      <c r="B20" s="69" t="s">
        <v>39</v>
      </c>
      <c r="C20" s="68" t="s">
        <v>40</v>
      </c>
      <c r="D20" s="120">
        <v>-4</v>
      </c>
      <c r="E20" s="72">
        <v>1</v>
      </c>
      <c r="F20" s="73">
        <v>3</v>
      </c>
      <c r="G20" s="73">
        <v>2.2000000000000002</v>
      </c>
      <c r="H20" s="74"/>
      <c r="I20" s="74"/>
      <c r="J20" s="75">
        <f>G20*F20*E20*D20</f>
        <v>-26.400000000000002</v>
      </c>
      <c r="K20" s="55"/>
    </row>
    <row r="21" spans="1:11">
      <c r="A21" s="8"/>
      <c r="B21" s="121"/>
      <c r="C21" s="68" t="s">
        <v>40</v>
      </c>
      <c r="D21" s="120">
        <v>-1</v>
      </c>
      <c r="E21" s="72">
        <v>1</v>
      </c>
      <c r="F21" s="73">
        <v>1.25</v>
      </c>
      <c r="G21" s="73">
        <v>2.2000000000000002</v>
      </c>
      <c r="H21" s="74"/>
      <c r="I21" s="74"/>
      <c r="J21" s="75">
        <f>G21*F21*E21*D21</f>
        <v>-2.75</v>
      </c>
      <c r="K21" s="128"/>
    </row>
    <row r="22" spans="1:11">
      <c r="A22" s="8"/>
      <c r="B22" s="121"/>
      <c r="C22" s="129"/>
      <c r="D22" s="122"/>
      <c r="E22" s="123"/>
      <c r="F22" s="124"/>
      <c r="G22" s="124"/>
      <c r="H22" s="126"/>
      <c r="I22" s="126"/>
      <c r="J22" s="127"/>
      <c r="K22" s="128"/>
    </row>
    <row r="23" spans="1:11">
      <c r="A23" s="8"/>
      <c r="B23" s="121"/>
      <c r="C23" s="130"/>
      <c r="D23" s="122"/>
      <c r="E23" s="123"/>
      <c r="F23" s="124"/>
      <c r="G23" s="125"/>
      <c r="H23" s="126"/>
      <c r="I23" s="126"/>
      <c r="J23" s="127"/>
      <c r="K23" s="128"/>
    </row>
    <row r="24" spans="1:11">
      <c r="A24" s="8"/>
      <c r="B24" s="59"/>
      <c r="C24" s="129"/>
      <c r="D24" s="122"/>
      <c r="E24" s="123"/>
      <c r="F24" s="124"/>
      <c r="G24" s="125"/>
      <c r="H24" s="126"/>
      <c r="I24" s="126"/>
      <c r="J24" s="127"/>
      <c r="K24" s="128"/>
    </row>
    <row r="25" spans="1:11">
      <c r="A25" s="8"/>
      <c r="B25" s="59"/>
      <c r="C25" s="129"/>
      <c r="D25" s="122"/>
      <c r="E25" s="123"/>
      <c r="F25" s="124"/>
      <c r="G25" s="124"/>
      <c r="H25" s="126"/>
      <c r="I25" s="126"/>
      <c r="J25" s="127"/>
      <c r="K25" s="128"/>
    </row>
    <row r="26" spans="1:11" ht="14.25" customHeight="1">
      <c r="A26" s="8"/>
      <c r="B26" s="59"/>
      <c r="C26" s="129"/>
      <c r="D26" s="122"/>
      <c r="E26" s="123"/>
      <c r="F26" s="124"/>
      <c r="G26" s="124"/>
      <c r="H26" s="126"/>
      <c r="I26" s="126"/>
      <c r="J26" s="127"/>
      <c r="K26" s="128"/>
    </row>
    <row r="27" spans="1:11" ht="14.25" customHeight="1">
      <c r="A27" s="8"/>
      <c r="B27" s="59"/>
      <c r="C27" s="129"/>
      <c r="D27" s="122"/>
      <c r="E27" s="123"/>
      <c r="F27" s="124"/>
      <c r="G27" s="124"/>
      <c r="H27" s="126"/>
      <c r="I27" s="126"/>
      <c r="J27" s="127"/>
      <c r="K27" s="131"/>
    </row>
    <row r="28" spans="1:11" ht="14.25" customHeight="1">
      <c r="A28" s="8"/>
      <c r="B28" s="59"/>
      <c r="C28" s="129"/>
      <c r="D28" s="122"/>
      <c r="E28" s="123"/>
      <c r="F28" s="124"/>
      <c r="G28" s="125"/>
      <c r="H28" s="126"/>
      <c r="I28" s="126"/>
      <c r="J28" s="127"/>
      <c r="K28" s="131"/>
    </row>
    <row r="29" spans="1:11" ht="14.25" customHeight="1">
      <c r="A29" s="8"/>
      <c r="B29" s="132"/>
      <c r="C29" s="133"/>
      <c r="D29" s="122"/>
      <c r="E29" s="123"/>
      <c r="F29" s="124"/>
      <c r="G29" s="125"/>
      <c r="H29" s="126"/>
      <c r="I29" s="126"/>
      <c r="J29" s="127"/>
      <c r="K29" s="131"/>
    </row>
    <row r="30" spans="1:11" ht="14.25" customHeight="1">
      <c r="A30" s="8"/>
      <c r="B30" s="59"/>
      <c r="C30" s="129"/>
      <c r="D30" s="122"/>
      <c r="E30" s="123"/>
      <c r="F30" s="124"/>
      <c r="G30" s="124"/>
      <c r="H30" s="126"/>
      <c r="I30" s="126"/>
      <c r="J30" s="127"/>
      <c r="K30" s="131"/>
    </row>
    <row r="31" spans="1:11" ht="14.25" customHeight="1">
      <c r="A31" s="8"/>
      <c r="B31" s="59"/>
      <c r="C31" s="122"/>
      <c r="D31" s="122"/>
      <c r="E31" s="123"/>
      <c r="F31" s="124"/>
      <c r="G31" s="125"/>
      <c r="H31" s="126"/>
      <c r="I31" s="126"/>
      <c r="J31" s="127"/>
      <c r="K31" s="131"/>
    </row>
    <row r="32" spans="1:11" ht="14.25" customHeight="1">
      <c r="A32" s="8"/>
      <c r="B32" s="59"/>
      <c r="C32" s="129"/>
      <c r="D32" s="122"/>
      <c r="E32" s="123"/>
      <c r="F32" s="124"/>
      <c r="G32" s="124"/>
      <c r="H32" s="126"/>
      <c r="I32" s="126"/>
      <c r="J32" s="127"/>
      <c r="K32" s="131"/>
    </row>
    <row r="33" spans="1:11" ht="14.25" customHeight="1">
      <c r="A33" s="8"/>
      <c r="B33" s="59"/>
      <c r="C33" s="68"/>
      <c r="D33" s="50"/>
      <c r="E33" s="51"/>
      <c r="F33" s="52"/>
      <c r="G33" s="52"/>
      <c r="H33" s="57"/>
      <c r="I33" s="58"/>
      <c r="J33" s="63"/>
      <c r="K33" s="61"/>
    </row>
    <row r="34" spans="1:11" ht="14.25" customHeight="1">
      <c r="A34" s="8"/>
      <c r="B34" s="65"/>
      <c r="C34" s="64"/>
      <c r="D34" s="50"/>
      <c r="E34" s="51"/>
      <c r="F34" s="52"/>
      <c r="G34" s="52"/>
      <c r="H34" s="57"/>
      <c r="I34" s="58"/>
      <c r="J34" s="63"/>
      <c r="K34" s="61"/>
    </row>
    <row r="35" spans="1:11" ht="14.25" customHeight="1">
      <c r="A35" s="8"/>
      <c r="B35" s="69"/>
      <c r="C35" s="50"/>
      <c r="D35" s="50"/>
      <c r="E35" s="51"/>
      <c r="F35" s="52"/>
      <c r="G35" s="53"/>
      <c r="H35" s="57"/>
      <c r="I35" s="58"/>
      <c r="J35" s="63"/>
      <c r="K35" s="61"/>
    </row>
    <row r="36" spans="1:11" ht="14.25" customHeight="1">
      <c r="A36" s="8"/>
      <c r="B36" s="49"/>
      <c r="C36" s="64"/>
      <c r="D36" s="50"/>
      <c r="E36" s="51"/>
      <c r="F36" s="52"/>
      <c r="G36" s="52"/>
      <c r="H36" s="57"/>
      <c r="I36" s="58"/>
      <c r="J36" s="63"/>
      <c r="K36" s="61"/>
    </row>
    <row r="37" spans="1:11" ht="14.25" customHeight="1">
      <c r="A37" s="8"/>
      <c r="B37" s="65"/>
      <c r="C37" s="50"/>
      <c r="D37" s="50"/>
      <c r="E37" s="51"/>
      <c r="F37" s="52"/>
      <c r="G37" s="53"/>
      <c r="H37" s="57"/>
      <c r="I37" s="58"/>
      <c r="J37" s="63"/>
      <c r="K37" s="61"/>
    </row>
    <row r="38" spans="1:11" ht="14.25" customHeight="1">
      <c r="A38" s="8"/>
      <c r="B38" s="69"/>
      <c r="C38" s="68"/>
      <c r="D38" s="66"/>
      <c r="E38" s="72"/>
      <c r="F38" s="73"/>
      <c r="G38" s="73"/>
      <c r="H38" s="74"/>
      <c r="I38" s="74"/>
      <c r="J38" s="75"/>
      <c r="K38" s="61"/>
    </row>
    <row r="39" spans="1:11" ht="14.25" customHeight="1">
      <c r="A39" s="8"/>
      <c r="B39" s="69"/>
      <c r="C39" s="68"/>
      <c r="D39" s="66"/>
      <c r="E39" s="72"/>
      <c r="F39" s="73"/>
      <c r="G39" s="73"/>
      <c r="H39" s="74"/>
      <c r="I39" s="74"/>
      <c r="J39" s="75"/>
      <c r="K39" s="61"/>
    </row>
    <row r="40" spans="1:11" ht="14.25" customHeight="1">
      <c r="A40" s="8"/>
      <c r="B40" s="69"/>
      <c r="C40" s="68"/>
      <c r="D40" s="70"/>
      <c r="E40" s="51"/>
      <c r="F40" s="52"/>
      <c r="G40" s="53"/>
      <c r="H40" s="57"/>
      <c r="I40" s="58"/>
      <c r="J40" s="63"/>
      <c r="K40" s="61"/>
    </row>
    <row r="41" spans="1:11" ht="14.25" customHeight="1">
      <c r="A41" s="8"/>
      <c r="B41" s="69"/>
      <c r="C41" s="68"/>
      <c r="D41" s="70"/>
      <c r="E41" s="51"/>
      <c r="F41" s="52"/>
      <c r="G41" s="53"/>
      <c r="H41" s="57"/>
      <c r="I41" s="58"/>
      <c r="J41" s="63"/>
      <c r="K41" s="61"/>
    </row>
    <row r="42" spans="1:11" ht="14.25" customHeight="1">
      <c r="A42" s="8"/>
      <c r="B42" s="69"/>
      <c r="C42" s="68"/>
      <c r="D42" s="70"/>
      <c r="E42" s="51"/>
      <c r="F42" s="52"/>
      <c r="G42" s="53"/>
      <c r="H42" s="57"/>
      <c r="I42" s="58"/>
      <c r="J42" s="63"/>
      <c r="K42" s="61"/>
    </row>
    <row r="43" spans="1:11">
      <c r="A43" s="8"/>
      <c r="B43" s="56"/>
      <c r="C43" s="50"/>
      <c r="D43" s="60"/>
      <c r="E43" s="52"/>
      <c r="F43" s="52"/>
      <c r="G43" s="53"/>
      <c r="H43" s="57"/>
      <c r="I43" s="58"/>
      <c r="J43" s="54"/>
      <c r="K43" s="61"/>
    </row>
    <row r="44" spans="1:11">
      <c r="A44" s="9"/>
      <c r="B44" s="10"/>
      <c r="C44" s="11"/>
      <c r="D44" s="12"/>
      <c r="E44" s="13"/>
      <c r="F44" s="13"/>
      <c r="G44" s="13"/>
      <c r="H44" s="14"/>
      <c r="I44" s="15"/>
      <c r="J44" s="15"/>
      <c r="K44" s="16"/>
    </row>
    <row r="45" spans="1:11" ht="15.75" thickBot="1">
      <c r="A45" s="17"/>
      <c r="B45" s="18" t="s">
        <v>12</v>
      </c>
      <c r="C45" s="19"/>
      <c r="D45" s="20"/>
      <c r="E45" s="21"/>
      <c r="F45" s="22"/>
      <c r="G45" s="23"/>
      <c r="H45" s="24"/>
      <c r="I45" s="24"/>
      <c r="J45" s="62">
        <f>SUM(J15:J44)</f>
        <v>398.935</v>
      </c>
      <c r="K45" s="25"/>
    </row>
    <row r="46" spans="1:11" ht="16.5" thickTop="1">
      <c r="A46" s="26"/>
      <c r="B46" s="27" t="s">
        <v>13</v>
      </c>
      <c r="C46" s="28"/>
      <c r="D46" s="29"/>
      <c r="E46" s="30"/>
      <c r="F46" s="1"/>
      <c r="G46" s="30"/>
      <c r="H46" s="28"/>
      <c r="I46" s="28"/>
      <c r="J46" s="28" t="s">
        <v>14</v>
      </c>
      <c r="K46" s="31"/>
    </row>
    <row r="47" spans="1:11" ht="15.75">
      <c r="A47" s="32"/>
      <c r="B47" s="33" t="s">
        <v>15</v>
      </c>
      <c r="C47" s="34"/>
      <c r="D47" s="35"/>
      <c r="E47" s="34"/>
      <c r="F47" s="3"/>
      <c r="G47" s="34"/>
      <c r="H47" s="34"/>
      <c r="I47" s="34"/>
      <c r="J47" s="33" t="s">
        <v>16</v>
      </c>
      <c r="K47" s="36"/>
    </row>
  </sheetData>
  <mergeCells count="23">
    <mergeCell ref="H11:I11"/>
    <mergeCell ref="J11:J12"/>
    <mergeCell ref="B14:J14"/>
    <mergeCell ref="C11:C12"/>
    <mergeCell ref="D11:D12"/>
    <mergeCell ref="E11:E12"/>
    <mergeCell ref="F11:F12"/>
    <mergeCell ref="G11:G12"/>
    <mergeCell ref="A1:B7"/>
    <mergeCell ref="C1:G7"/>
    <mergeCell ref="H1:I7"/>
    <mergeCell ref="J1:K7"/>
    <mergeCell ref="A8:C8"/>
    <mergeCell ref="D8:E8"/>
    <mergeCell ref="F8:J8"/>
    <mergeCell ref="K11:K12"/>
    <mergeCell ref="A9:C9"/>
    <mergeCell ref="D9:E9"/>
    <mergeCell ref="F9:G9"/>
    <mergeCell ref="H9:J9"/>
    <mergeCell ref="A10:J10"/>
    <mergeCell ref="A11:A12"/>
    <mergeCell ref="B11:B12"/>
  </mergeCells>
  <phoneticPr fontId="36" type="noConversion"/>
  <printOptions horizontalCentered="1"/>
  <pageMargins left="0" right="0" top="0" bottom="0" header="0" footer="0"/>
  <pageSetup paperSize="9" scale="91" fitToHeight="0" orientation="portrait" r:id="rId1"/>
  <headerFooter>
    <oddFooter>&amp;Rاعداد  : 
مهندس المقاول :</oddFooter>
  </headerFooter>
  <drawing r:id="rId2"/>
  <legacyDrawing r:id="rId3"/>
  <oleObjects>
    <mc:AlternateContent xmlns:mc="http://schemas.openxmlformats.org/markup-compatibility/2006">
      <mc:Choice Requires="x14">
        <oleObject progId="StaticMetafile" shapeId="10241" r:id="rId4">
          <objectPr defaultSize="0" autoPict="0" r:id="rId5">
            <anchor moveWithCells="1">
              <from>
                <xdr:col>7</xdr:col>
                <xdr:colOff>114300</xdr:colOff>
                <xdr:row>0</xdr:row>
                <xdr:rowOff>28575</xdr:rowOff>
              </from>
              <to>
                <xdr:col>8</xdr:col>
                <xdr:colOff>409575</xdr:colOff>
                <xdr:row>5</xdr:row>
                <xdr:rowOff>114300</xdr:rowOff>
              </to>
            </anchor>
          </objectPr>
        </oleObject>
      </mc:Choice>
      <mc:Fallback>
        <oleObject progId="StaticMetafile" shapeId="10241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الابواب المعدنيه</vt:lpstr>
      <vt:lpstr>الابواب المنزلقه</vt:lpstr>
      <vt:lpstr>الدهانات الداخليه </vt:lpstr>
      <vt:lpstr>.ايبوكسي</vt:lpstr>
      <vt:lpstr>مباني</vt:lpstr>
      <vt:lpstr>'.ايبوكسي'!Print_Area</vt:lpstr>
      <vt:lpstr>'الابواب المعدنيه'!Print_Area</vt:lpstr>
      <vt:lpstr>'الابواب المنزلقه'!Print_Area</vt:lpstr>
      <vt:lpstr>'الدهانات الداخليه '!Print_Area</vt:lpstr>
      <vt:lpstr>مباني!Print_Area</vt:lpstr>
      <vt:lpstr>'.ايبوكسي'!Print_Titles</vt:lpstr>
      <vt:lpstr>'الابواب المعدنيه'!Print_Titles</vt:lpstr>
      <vt:lpstr>'الابواب المنزلقه'!Print_Titles</vt:lpstr>
      <vt:lpstr>'الدهانات الداخليه '!Print_Titles</vt:lpstr>
      <vt:lpstr>مباني!Print_Titles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cp:lastPrinted>2025-07-22T10:55:58Z</cp:lastPrinted>
  <dcterms:created xsi:type="dcterms:W3CDTF">2021-01-30T06:40:58Z</dcterms:created>
  <dcterms:modified xsi:type="dcterms:W3CDTF">2025-07-22T12:33:18Z</dcterms:modified>
</cp:coreProperties>
</file>