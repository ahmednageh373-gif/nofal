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المكتب\PROJECTS\QS\الانتاج الحيواني\جز الصوف\"/>
    </mc:Choice>
  </mc:AlternateContent>
  <xr:revisionPtr revIDLastSave="0" documentId="13_ncr:1_{B15F0C7C-55EB-49C7-ABCC-72F42062D204}" xr6:coauthVersionLast="47" xr6:coauthVersionMax="47" xr10:uidLastSave="{00000000-0000-0000-0000-000000000000}"/>
  <bookViews>
    <workbookView xWindow="-120" yWindow="-120" windowWidth="29040" windowHeight="15720" tabRatio="874" activeTab="1" xr2:uid="{00000000-000D-0000-FFFF-FFFF00000000}"/>
  </bookViews>
  <sheets>
    <sheet name="الايبوكسي" sheetId="87" r:id="rId1"/>
    <sheet name="السور" sheetId="86" r:id="rId2"/>
  </sheets>
  <definedNames>
    <definedName name="_xlnm.Print_Area" localSheetId="0">الايبوكسي!$A$1:$K$27</definedName>
    <definedName name="_xlnm.Print_Area" localSheetId="1">السور!$A$1:$K$24</definedName>
    <definedName name="_xlnm.Print_Titles" localSheetId="0">الايبوكسي!$1:$12</definedName>
    <definedName name="_xlnm.Print_Titles" localSheetId="1">السور!$1:$12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9" i="87" l="1"/>
  <c r="J18" i="87"/>
  <c r="J17" i="87"/>
  <c r="J19" i="86"/>
  <c r="J18" i="86"/>
  <c r="J17" i="86"/>
  <c r="J22" i="86" s="1"/>
  <c r="J25" i="87" l="1"/>
</calcChain>
</file>

<file path=xl/sharedStrings.xml><?xml version="1.0" encoding="utf-8"?>
<sst xmlns="http://schemas.openxmlformats.org/spreadsheetml/2006/main" count="66" uniqueCount="35">
  <si>
    <t>Sr. #</t>
  </si>
  <si>
    <t>DESCRIPTION</t>
  </si>
  <si>
    <t>UNIT</t>
  </si>
  <si>
    <t>NO.</t>
  </si>
  <si>
    <t>L</t>
  </si>
  <si>
    <t>W</t>
  </si>
  <si>
    <t>H</t>
  </si>
  <si>
    <t>QTY</t>
  </si>
  <si>
    <t xml:space="preserve">TOTAL </t>
  </si>
  <si>
    <t>REMARKS</t>
  </si>
  <si>
    <t>+</t>
  </si>
  <si>
    <t>-</t>
  </si>
  <si>
    <t>TOTAL</t>
  </si>
  <si>
    <t>مراجعة</t>
  </si>
  <si>
    <t xml:space="preserve">اعداد  </t>
  </si>
  <si>
    <t>مهندس المالك</t>
  </si>
  <si>
    <t xml:space="preserve">مهندس المقاول </t>
  </si>
  <si>
    <t xml:space="preserve">البند : </t>
  </si>
  <si>
    <r>
      <t>الوحدة :      م</t>
    </r>
    <r>
      <rPr>
        <b/>
        <vertAlign val="superscript"/>
        <sz val="12"/>
        <rFont val="Calibri"/>
        <family val="2"/>
      </rPr>
      <t>2</t>
    </r>
  </si>
  <si>
    <t>اسم المشروع :</t>
  </si>
  <si>
    <t>المبني :</t>
  </si>
  <si>
    <t>نوع الاعمال :</t>
  </si>
  <si>
    <t>رقم البند :</t>
  </si>
  <si>
    <t>معمارية</t>
  </si>
  <si>
    <t>حظائر تربية الاغنام و الماشية</t>
  </si>
  <si>
    <t>م/ط</t>
  </si>
  <si>
    <t xml:space="preserve"> توريد وعمل دهانات إيبوكسيه علي أسطح خرسانيه للأرضيات والسعر يشمل تشطيب‬‏
‫الأسطح بالهليكوبتر والتسويه والمعالجه والدهانات الإيبوكسيه وجميع الإكسسوارات وذلك طبقًا‬‏
‫لمخططات ومستندات التعاقد و توصيات الشركه المنتجه علي ان تعتمد العينات من المهندس قبل‬‏
‫التوريد مع الاإلتزام بالقائمة الاإلزامية .‬‏</t>
  </si>
  <si>
    <t>سور من الحديد المجلفن</t>
  </si>
  <si>
    <t>بالمر الطولي سور من الحديد المجلفن قابل للإزالة شامل تنفيذ الأبواب باختلاف العروض  (قطر الأنبوب 2 بوصة، السمك 2 مم، الارتفاع 90 سم)</t>
  </si>
  <si>
    <t>دهان الايبوكسي</t>
  </si>
  <si>
    <t xml:space="preserve">السور بارتفاع 90 سم </t>
  </si>
  <si>
    <t>م2</t>
  </si>
  <si>
    <t xml:space="preserve">مسقط ممر التعقيم </t>
  </si>
  <si>
    <t>جوانب ممر التعقيم</t>
  </si>
  <si>
    <t>جز الصوف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</si>
</sst>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00_);_(* \(#,##0.000\);_(* &quot;-&quot;??_);_(@_)"/>
    <numFmt numFmtId="165" formatCode="_-* #,##0.00_-;\-* #,##0.00_-;_-* &quot;-&quot;??_-;_-@_-"/>
  </numFmts>
  <fonts count="33">
    <font>
      <sz val="11"/>
      <color indexed="8"/>
      <name val="Calibri"/>
      <family val="2"/>
      <charset val="17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78"/>
    </font>
    <font>
      <sz val="12"/>
      <color indexed="8"/>
      <name val="Calibri"/>
      <family val="2"/>
      <charset val="178"/>
    </font>
    <font>
      <sz val="11"/>
      <color indexed="8"/>
      <name val="Calibri"/>
      <family val="2"/>
    </font>
    <font>
      <sz val="10"/>
      <color indexed="8"/>
      <name val="Calibri"/>
      <family val="2"/>
      <charset val="178"/>
    </font>
    <font>
      <sz val="10"/>
      <color indexed="8"/>
      <name val="Calibri"/>
      <family val="2"/>
      <charset val="204"/>
    </font>
    <font>
      <b/>
      <sz val="10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0"/>
      <color theme="1"/>
      <name val="Calibri"/>
      <family val="2"/>
      <charset val="204"/>
    </font>
    <font>
      <b/>
      <sz val="10"/>
      <color indexed="8"/>
      <name val="Calibri"/>
      <family val="2"/>
      <charset val="204"/>
    </font>
    <font>
      <b/>
      <sz val="10"/>
      <name val="Arial"/>
      <family val="2"/>
    </font>
    <font>
      <b/>
      <sz val="10"/>
      <color indexed="8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1"/>
      <name val="Arial"/>
      <family val="2"/>
    </font>
    <font>
      <b/>
      <sz val="12"/>
      <color indexed="8"/>
      <name val="Times New Roman"/>
      <family val="1"/>
    </font>
    <font>
      <b/>
      <sz val="12"/>
      <color indexed="8"/>
      <name val="Calibri"/>
      <family val="2"/>
      <charset val="178"/>
    </font>
    <font>
      <b/>
      <sz val="11"/>
      <color indexed="8"/>
      <name val="Calibri"/>
      <family val="2"/>
      <charset val="178"/>
    </font>
    <font>
      <sz val="11"/>
      <color theme="1"/>
      <name val="Calibri"/>
      <family val="2"/>
      <charset val="178"/>
      <scheme val="minor"/>
    </font>
    <font>
      <sz val="11"/>
      <name val="Calibri"/>
      <family val="2"/>
    </font>
    <font>
      <sz val="10"/>
      <color theme="1"/>
      <name val="SST Arabic"/>
      <family val="2"/>
    </font>
    <font>
      <sz val="12"/>
      <name val="Arabic Transparent"/>
      <charset val="178"/>
    </font>
    <font>
      <sz val="11"/>
      <name val="Arial Narrow"/>
      <family val="2"/>
    </font>
    <font>
      <sz val="10"/>
      <name val="Arial"/>
      <family val="2"/>
    </font>
    <font>
      <b/>
      <sz val="12"/>
      <name val="Calibri"/>
      <family val="2"/>
      <charset val="178"/>
    </font>
    <font>
      <b/>
      <vertAlign val="superscript"/>
      <sz val="12"/>
      <name val="Calibri"/>
      <family val="2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  <charset val="204"/>
    </font>
    <font>
      <sz val="11"/>
      <color rgb="FFFF0000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20">
    <xf numFmtId="0" fontId="0" fillId="0" borderId="0"/>
    <xf numFmtId="43" fontId="3" fillId="0" borderId="0" applyFont="0" applyFill="0" applyBorder="0" applyAlignment="0" applyProtection="0"/>
    <xf numFmtId="0" fontId="20" fillId="0" borderId="0"/>
    <xf numFmtId="0" fontId="21" fillId="0" borderId="0"/>
    <xf numFmtId="0" fontId="21" fillId="0" borderId="0"/>
    <xf numFmtId="0" fontId="20" fillId="0" borderId="0"/>
    <xf numFmtId="0" fontId="23" fillId="0" borderId="0"/>
    <xf numFmtId="0" fontId="20" fillId="0" borderId="0"/>
    <xf numFmtId="0" fontId="24" fillId="0" borderId="0"/>
    <xf numFmtId="0" fontId="20" fillId="0" borderId="0"/>
    <xf numFmtId="0" fontId="24" fillId="0" borderId="0"/>
    <xf numFmtId="9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2" fillId="0" borderId="0"/>
    <xf numFmtId="43" fontId="21" fillId="0" borderId="0" applyFont="0" applyFill="0" applyBorder="0" applyAlignment="0" applyProtection="0"/>
    <xf numFmtId="0" fontId="20" fillId="0" borderId="0"/>
    <xf numFmtId="165" fontId="20" fillId="0" borderId="0" applyFont="0" applyFill="0" applyBorder="0" applyAlignment="0" applyProtection="0"/>
    <xf numFmtId="0" fontId="25" fillId="0" borderId="0"/>
    <xf numFmtId="0" fontId="1" fillId="0" borderId="0"/>
  </cellStyleXfs>
  <cellXfs count="109">
    <xf numFmtId="0" fontId="0" fillId="0" borderId="0" xfId="0"/>
    <xf numFmtId="43" fontId="4" fillId="0" borderId="1" xfId="1" applyFont="1" applyBorder="1"/>
    <xf numFmtId="0" fontId="5" fillId="0" borderId="0" xfId="0" applyFont="1"/>
    <xf numFmtId="43" fontId="4" fillId="0" borderId="0" xfId="1" applyFont="1" applyBorder="1"/>
    <xf numFmtId="0" fontId="6" fillId="0" borderId="0" xfId="0" applyFont="1" applyAlignment="1">
      <alignment vertical="center"/>
    </xf>
    <xf numFmtId="0" fontId="9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43" fontId="13" fillId="0" borderId="14" xfId="1" applyFont="1" applyFill="1" applyBorder="1" applyAlignment="1">
      <alignment horizontal="center" vertical="center"/>
    </xf>
    <xf numFmtId="43" fontId="13" fillId="0" borderId="14" xfId="1" applyFont="1" applyFill="1" applyBorder="1" applyAlignment="1">
      <alignment horizontal="left" vertical="center"/>
    </xf>
    <xf numFmtId="164" fontId="12" fillId="0" borderId="14" xfId="1" applyNumberFormat="1" applyFont="1" applyFill="1" applyBorder="1" applyAlignment="1">
      <alignment horizontal="center" vertical="center"/>
    </xf>
    <xf numFmtId="0" fontId="13" fillId="0" borderId="15" xfId="0" applyFont="1" applyBorder="1" applyAlignment="1">
      <alignment vertical="center"/>
    </xf>
    <xf numFmtId="0" fontId="14" fillId="0" borderId="16" xfId="0" applyFont="1" applyBorder="1" applyAlignment="1">
      <alignment horizontal="center"/>
    </xf>
    <xf numFmtId="0" fontId="14" fillId="0" borderId="17" xfId="0" applyFont="1" applyBorder="1" applyAlignment="1">
      <alignment horizontal="left" vertical="center"/>
    </xf>
    <xf numFmtId="0" fontId="15" fillId="0" borderId="17" xfId="0" applyFont="1" applyBorder="1"/>
    <xf numFmtId="0" fontId="15" fillId="0" borderId="17" xfId="0" applyFont="1" applyBorder="1" applyAlignment="1">
      <alignment horizontal="center"/>
    </xf>
    <xf numFmtId="43" fontId="14" fillId="0" borderId="17" xfId="1" applyFont="1" applyFill="1" applyBorder="1" applyAlignment="1">
      <alignment horizontal="center"/>
    </xf>
    <xf numFmtId="43" fontId="14" fillId="0" borderId="17" xfId="1" applyFont="1" applyFill="1" applyBorder="1" applyAlignment="1"/>
    <xf numFmtId="43" fontId="14" fillId="0" borderId="17" xfId="1" applyFont="1" applyFill="1" applyBorder="1"/>
    <xf numFmtId="43" fontId="15" fillId="0" borderId="17" xfId="1" applyFont="1" applyFill="1" applyBorder="1" applyAlignment="1">
      <alignment horizontal="center"/>
    </xf>
    <xf numFmtId="0" fontId="14" fillId="0" borderId="18" xfId="0" applyFont="1" applyBorder="1"/>
    <xf numFmtId="0" fontId="14" fillId="0" borderId="1" xfId="0" applyFont="1" applyBorder="1" applyAlignment="1">
      <alignment horizontal="center"/>
    </xf>
    <xf numFmtId="0" fontId="10" fillId="0" borderId="1" xfId="0" applyFont="1" applyBorder="1" applyAlignment="1">
      <alignment horizontal="right" vertical="center"/>
    </xf>
    <xf numFmtId="0" fontId="17" fillId="0" borderId="1" xfId="0" applyFont="1" applyBorder="1"/>
    <xf numFmtId="0" fontId="18" fillId="0" borderId="1" xfId="0" applyFont="1" applyBorder="1" applyAlignment="1">
      <alignment horizontal="center"/>
    </xf>
    <xf numFmtId="0" fontId="18" fillId="0" borderId="1" xfId="0" applyFont="1" applyBorder="1"/>
    <xf numFmtId="0" fontId="19" fillId="0" borderId="1" xfId="0" applyFont="1" applyBorder="1"/>
    <xf numFmtId="0" fontId="14" fillId="0" borderId="0" xfId="0" applyFont="1" applyAlignment="1">
      <alignment horizontal="center"/>
    </xf>
    <xf numFmtId="0" fontId="17" fillId="0" borderId="0" xfId="0" applyFont="1"/>
    <xf numFmtId="0" fontId="18" fillId="0" borderId="0" xfId="0" applyFont="1"/>
    <xf numFmtId="0" fontId="18" fillId="0" borderId="0" xfId="0" applyFont="1" applyAlignment="1">
      <alignment horizontal="center"/>
    </xf>
    <xf numFmtId="0" fontId="14" fillId="0" borderId="0" xfId="0" applyFont="1"/>
    <xf numFmtId="0" fontId="0" fillId="0" borderId="0" xfId="0" applyAlignment="1">
      <alignment horizontal="center"/>
    </xf>
    <xf numFmtId="43" fontId="0" fillId="0" borderId="0" xfId="1" applyFont="1"/>
    <xf numFmtId="0" fontId="26" fillId="0" borderId="26" xfId="0" applyFont="1" applyBorder="1" applyAlignment="1">
      <alignment vertical="center"/>
    </xf>
    <xf numFmtId="0" fontId="26" fillId="0" borderId="15" xfId="0" applyFont="1" applyBorder="1" applyAlignment="1">
      <alignment vertical="center"/>
    </xf>
    <xf numFmtId="0" fontId="26" fillId="0" borderId="18" xfId="0" applyFont="1" applyBorder="1" applyAlignment="1">
      <alignment vertical="center"/>
    </xf>
    <xf numFmtId="0" fontId="10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43" fontId="9" fillId="0" borderId="6" xfId="1" applyFont="1" applyBorder="1" applyAlignment="1">
      <alignment horizontal="center" vertical="center"/>
    </xf>
    <xf numFmtId="43" fontId="28" fillId="0" borderId="6" xfId="1" applyFont="1" applyBorder="1" applyAlignment="1">
      <alignment horizontal="center" vertical="center"/>
    </xf>
    <xf numFmtId="0" fontId="9" fillId="0" borderId="6" xfId="1" applyNumberFormat="1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2" fontId="7" fillId="0" borderId="6" xfId="0" applyNumberFormat="1" applyFont="1" applyBorder="1" applyAlignment="1">
      <alignment horizontal="center" vertical="center"/>
    </xf>
    <xf numFmtId="2" fontId="7" fillId="0" borderId="7" xfId="1" applyNumberFormat="1" applyFont="1" applyFill="1" applyBorder="1" applyAlignment="1">
      <alignment horizontal="center" vertical="center"/>
    </xf>
    <xf numFmtId="2" fontId="7" fillId="0" borderId="6" xfId="1" applyNumberFormat="1" applyFont="1" applyFill="1" applyBorder="1" applyAlignment="1">
      <alignment horizontal="center" vertical="center"/>
    </xf>
    <xf numFmtId="2" fontId="7" fillId="0" borderId="8" xfId="1" applyNumberFormat="1" applyFont="1" applyFill="1" applyBorder="1" applyAlignment="1">
      <alignment vertical="center"/>
    </xf>
    <xf numFmtId="0" fontId="5" fillId="0" borderId="6" xfId="1" applyNumberFormat="1" applyFont="1" applyBorder="1" applyAlignment="1">
      <alignment horizontal="center" vertical="center"/>
    </xf>
    <xf numFmtId="2" fontId="6" fillId="0" borderId="10" xfId="0" applyNumberFormat="1" applyFont="1" applyBorder="1" applyAlignment="1">
      <alignment vertical="center"/>
    </xf>
    <xf numFmtId="0" fontId="10" fillId="0" borderId="7" xfId="0" applyFont="1" applyBorder="1" applyAlignment="1">
      <alignment horizontal="center" vertical="center"/>
    </xf>
    <xf numFmtId="2" fontId="7" fillId="0" borderId="6" xfId="1" applyNumberFormat="1" applyFont="1" applyBorder="1" applyAlignment="1">
      <alignment vertical="center"/>
    </xf>
    <xf numFmtId="2" fontId="6" fillId="0" borderId="6" xfId="1" applyNumberFormat="1" applyFont="1" applyBorder="1" applyAlignment="1">
      <alignment vertical="center"/>
    </xf>
    <xf numFmtId="0" fontId="29" fillId="0" borderId="7" xfId="0" applyFont="1" applyBorder="1" applyAlignment="1">
      <alignment horizontal="center" vertical="center"/>
    </xf>
    <xf numFmtId="2" fontId="7" fillId="0" borderId="7" xfId="0" applyNumberFormat="1" applyFont="1" applyBorder="1" applyAlignment="1">
      <alignment horizontal="center" vertical="center"/>
    </xf>
    <xf numFmtId="2" fontId="6" fillId="0" borderId="12" xfId="0" applyNumberFormat="1" applyFont="1" applyBorder="1" applyAlignment="1">
      <alignment vertical="center"/>
    </xf>
    <xf numFmtId="164" fontId="16" fillId="0" borderId="17" xfId="1" applyNumberFormat="1" applyFont="1" applyFill="1" applyBorder="1" applyAlignment="1">
      <alignment horizontal="center" vertical="center"/>
    </xf>
    <xf numFmtId="2" fontId="5" fillId="0" borderId="6" xfId="1" applyNumberFormat="1" applyFont="1" applyBorder="1" applyAlignment="1">
      <alignment horizontal="center" vertical="center"/>
    </xf>
    <xf numFmtId="0" fontId="30" fillId="0" borderId="7" xfId="0" applyFont="1" applyBorder="1" applyAlignment="1">
      <alignment horizontal="center" vertical="center"/>
    </xf>
    <xf numFmtId="0" fontId="31" fillId="0" borderId="7" xfId="0" applyFont="1" applyBorder="1" applyAlignment="1">
      <alignment horizontal="center" vertical="center"/>
    </xf>
    <xf numFmtId="2" fontId="7" fillId="0" borderId="8" xfId="1" applyNumberFormat="1" applyFont="1" applyFill="1" applyBorder="1" applyAlignment="1">
      <alignment horizontal="center" vertical="center"/>
    </xf>
    <xf numFmtId="43" fontId="8" fillId="0" borderId="3" xfId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2" fontId="7" fillId="0" borderId="27" xfId="1" applyNumberFormat="1" applyFont="1" applyFill="1" applyBorder="1" applyAlignment="1">
      <alignment horizontal="center" vertical="center"/>
    </xf>
    <xf numFmtId="2" fontId="7" fillId="0" borderId="29" xfId="1" applyNumberFormat="1" applyFont="1" applyFill="1" applyBorder="1" applyAlignment="1">
      <alignment horizontal="center" vertical="center"/>
    </xf>
    <xf numFmtId="43" fontId="8" fillId="0" borderId="19" xfId="1" applyFont="1" applyBorder="1" applyAlignment="1">
      <alignment horizontal="center" vertical="center"/>
    </xf>
    <xf numFmtId="43" fontId="8" fillId="0" borderId="3" xfId="1" applyFont="1" applyBorder="1" applyAlignment="1">
      <alignment horizontal="center" vertical="center"/>
    </xf>
    <xf numFmtId="43" fontId="8" fillId="0" borderId="21" xfId="1" applyFont="1" applyBorder="1" applyAlignment="1">
      <alignment horizontal="center" vertical="center"/>
    </xf>
    <xf numFmtId="43" fontId="8" fillId="0" borderId="22" xfId="1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32" fillId="0" borderId="27" xfId="0" applyFont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29" xfId="0" applyFont="1" applyBorder="1" applyAlignment="1">
      <alignment horizontal="center" vertical="center"/>
    </xf>
    <xf numFmtId="0" fontId="26" fillId="0" borderId="13" xfId="0" applyFont="1" applyBorder="1" applyAlignment="1">
      <alignment vertical="center"/>
    </xf>
    <xf numFmtId="0" fontId="26" fillId="0" borderId="14" xfId="0" applyFont="1" applyBorder="1" applyAlignment="1">
      <alignment vertical="center"/>
    </xf>
    <xf numFmtId="0" fontId="26" fillId="0" borderId="14" xfId="0" applyFont="1" applyBorder="1" applyAlignment="1">
      <alignment horizontal="center" vertical="center"/>
    </xf>
    <xf numFmtId="0" fontId="26" fillId="0" borderId="14" xfId="0" applyFont="1" applyBorder="1" applyAlignment="1">
      <alignment horizontal="right" vertical="center"/>
    </xf>
    <xf numFmtId="0" fontId="26" fillId="0" borderId="14" xfId="0" applyFont="1" applyBorder="1" applyAlignment="1">
      <alignment horizontal="right" vertical="center" wrapText="1"/>
    </xf>
    <xf numFmtId="0" fontId="26" fillId="0" borderId="16" xfId="0" applyFont="1" applyBorder="1" applyAlignment="1">
      <alignment horizontal="right" vertical="top" wrapText="1"/>
    </xf>
    <xf numFmtId="0" fontId="26" fillId="0" borderId="17" xfId="0" applyFont="1" applyBorder="1" applyAlignment="1">
      <alignment horizontal="right" vertical="top" wrapText="1"/>
    </xf>
    <xf numFmtId="0" fontId="8" fillId="0" borderId="20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35" xfId="0" applyFont="1" applyBorder="1" applyAlignment="1">
      <alignment horizontal="center"/>
    </xf>
    <xf numFmtId="43" fontId="4" fillId="0" borderId="30" xfId="1" applyFont="1" applyBorder="1" applyAlignment="1">
      <alignment horizontal="center"/>
    </xf>
    <xf numFmtId="43" fontId="4" fillId="0" borderId="31" xfId="1" applyFont="1" applyBorder="1" applyAlignment="1">
      <alignment horizontal="center"/>
    </xf>
    <xf numFmtId="43" fontId="4" fillId="0" borderId="32" xfId="1" applyFont="1" applyBorder="1" applyAlignment="1">
      <alignment horizontal="center"/>
    </xf>
    <xf numFmtId="43" fontId="4" fillId="0" borderId="33" xfId="1" applyFont="1" applyBorder="1" applyAlignment="1">
      <alignment horizontal="center"/>
    </xf>
    <xf numFmtId="43" fontId="4" fillId="0" borderId="34" xfId="1" applyFont="1" applyBorder="1" applyAlignment="1">
      <alignment horizontal="center"/>
    </xf>
    <xf numFmtId="43" fontId="4" fillId="0" borderId="36" xfId="1" applyFont="1" applyBorder="1" applyAlignment="1">
      <alignment horizontal="center"/>
    </xf>
    <xf numFmtId="43" fontId="4" fillId="0" borderId="1" xfId="1" applyFont="1" applyBorder="1" applyAlignment="1">
      <alignment horizontal="center"/>
    </xf>
    <xf numFmtId="43" fontId="4" fillId="0" borderId="0" xfId="1" applyFont="1" applyBorder="1" applyAlignment="1">
      <alignment horizontal="center"/>
    </xf>
    <xf numFmtId="43" fontId="4" fillId="0" borderId="35" xfId="1" applyFont="1" applyBorder="1" applyAlignment="1">
      <alignment horizontal="center"/>
    </xf>
    <xf numFmtId="0" fontId="26" fillId="0" borderId="24" xfId="0" applyFont="1" applyBorder="1" applyAlignment="1">
      <alignment horizontal="right" vertical="center" wrapText="1"/>
    </xf>
    <xf numFmtId="0" fontId="26" fillId="0" borderId="25" xfId="0" applyFont="1" applyBorder="1" applyAlignment="1">
      <alignment horizontal="right" vertical="center"/>
    </xf>
  </cellXfs>
  <cellStyles count="20">
    <cellStyle name="Comma" xfId="1" builtinId="3"/>
    <cellStyle name="Comma 2" xfId="17" xr:uid="{00000000-0005-0000-0000-000001000000}"/>
    <cellStyle name="Comma 3" xfId="15" xr:uid="{00000000-0005-0000-0000-000002000000}"/>
    <cellStyle name="Comma 4" xfId="12" xr:uid="{00000000-0005-0000-0000-000003000000}"/>
    <cellStyle name="Normal" xfId="0" builtinId="0"/>
    <cellStyle name="Normal 2" xfId="2" xr:uid="{00000000-0005-0000-0000-000005000000}"/>
    <cellStyle name="Normal 2 2" xfId="8" xr:uid="{00000000-0005-0000-0000-000006000000}"/>
    <cellStyle name="Normal 2 2 2" xfId="7" xr:uid="{00000000-0005-0000-0000-000007000000}"/>
    <cellStyle name="Normal 3" xfId="4" xr:uid="{00000000-0005-0000-0000-000008000000}"/>
    <cellStyle name="Normal 3 2 2" xfId="10" xr:uid="{00000000-0005-0000-0000-000009000000}"/>
    <cellStyle name="Normal 4" xfId="5" xr:uid="{00000000-0005-0000-0000-00000A000000}"/>
    <cellStyle name="Normal 4 2 2" xfId="9" xr:uid="{00000000-0005-0000-0000-00000B000000}"/>
    <cellStyle name="Normal 5" xfId="14" xr:uid="{00000000-0005-0000-0000-00000C000000}"/>
    <cellStyle name="Normal 6" xfId="3" xr:uid="{00000000-0005-0000-0000-00000D000000}"/>
    <cellStyle name="Normal 7" xfId="19" xr:uid="{00000000-0005-0000-0000-00000E000000}"/>
    <cellStyle name="Percent 2" xfId="13" xr:uid="{00000000-0005-0000-0000-00000F000000}"/>
    <cellStyle name="Percent 2 2 2" xfId="11" xr:uid="{00000000-0005-0000-0000-000010000000}"/>
    <cellStyle name="عادي 2" xfId="6" xr:uid="{00000000-0005-0000-0000-000011000000}"/>
    <cellStyle name="عادي 3" xfId="16" xr:uid="{00000000-0005-0000-0000-000012000000}"/>
    <cellStyle name="عادي 4" xfId="18" xr:uid="{00000000-0005-0000-0000-00001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81646</xdr:colOff>
      <xdr:row>0</xdr:row>
      <xdr:rowOff>69206</xdr:rowOff>
    </xdr:from>
    <xdr:to>
      <xdr:col>10</xdr:col>
      <xdr:colOff>1295403</xdr:colOff>
      <xdr:row>6</xdr:row>
      <xdr:rowOff>98571</xdr:rowOff>
    </xdr:to>
    <xdr:pic>
      <xdr:nvPicPr>
        <xdr:cNvPr id="2" name="صورة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505"/>
        <a:stretch/>
      </xdr:blipFill>
      <xdr:spPr>
        <a:xfrm>
          <a:off x="5644246" y="69206"/>
          <a:ext cx="1985282" cy="88661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0</xdr:row>
          <xdr:rowOff>28575</xdr:rowOff>
        </xdr:from>
        <xdr:to>
          <xdr:col>8</xdr:col>
          <xdr:colOff>409575</xdr:colOff>
          <xdr:row>5</xdr:row>
          <xdr:rowOff>114300</xdr:rowOff>
        </xdr:to>
        <xdr:sp macro="" textlink="">
          <xdr:nvSpPr>
            <xdr:cNvPr id="143361" name="Object 1" hidden="1">
              <a:extLst>
                <a:ext uri="{63B3BB69-23CF-44E3-9099-C40C66FF867C}">
                  <a14:compatExt spid="_x0000_s143361"/>
                </a:ext>
                <a:ext uri="{FF2B5EF4-FFF2-40B4-BE49-F238E27FC236}">
                  <a16:creationId xmlns:a16="http://schemas.microsoft.com/office/drawing/2014/main" id="{00000000-0008-0000-0000-00000130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2</xdr:col>
      <xdr:colOff>112059</xdr:colOff>
      <xdr:row>0</xdr:row>
      <xdr:rowOff>90488</xdr:rowOff>
    </xdr:from>
    <xdr:to>
      <xdr:col>6</xdr:col>
      <xdr:colOff>529817</xdr:colOff>
      <xdr:row>6</xdr:row>
      <xdr:rowOff>95249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443" r="2690" b="12637"/>
        <a:stretch/>
      </xdr:blipFill>
      <xdr:spPr>
        <a:xfrm>
          <a:off x="2188509" y="90488"/>
          <a:ext cx="2370383" cy="862011"/>
        </a:xfrm>
        <a:prstGeom prst="rect">
          <a:avLst/>
        </a:prstGeom>
      </xdr:spPr>
    </xdr:pic>
    <xdr:clientData/>
  </xdr:twoCellAnchor>
  <xdr:twoCellAnchor editAs="oneCell">
    <xdr:from>
      <xdr:col>0</xdr:col>
      <xdr:colOff>87087</xdr:colOff>
      <xdr:row>0</xdr:row>
      <xdr:rowOff>48988</xdr:rowOff>
    </xdr:from>
    <xdr:to>
      <xdr:col>1</xdr:col>
      <xdr:colOff>1725387</xdr:colOff>
      <xdr:row>6</xdr:row>
      <xdr:rowOff>85540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087" y="48988"/>
          <a:ext cx="1952625" cy="893802"/>
        </a:xfrm>
        <a:prstGeom prst="rect">
          <a:avLst/>
        </a:prstGeom>
      </xdr:spPr>
    </xdr:pic>
    <xdr:clientData/>
  </xdr:twoCellAnchor>
  <xdr:twoCellAnchor>
    <xdr:from>
      <xdr:col>1</xdr:col>
      <xdr:colOff>1744265</xdr:colOff>
      <xdr:row>0</xdr:row>
      <xdr:rowOff>0</xdr:rowOff>
    </xdr:from>
    <xdr:to>
      <xdr:col>4</xdr:col>
      <xdr:colOff>148827</xdr:colOff>
      <xdr:row>1</xdr:row>
      <xdr:rowOff>65484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2058590" y="0"/>
          <a:ext cx="938212" cy="2083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CONSULTANT</a:t>
          </a:r>
        </a:p>
        <a:p>
          <a:endParaRPr lang="en-US" sz="1100"/>
        </a:p>
      </xdr:txBody>
    </xdr:sp>
    <xdr:clientData/>
  </xdr:twoCellAnchor>
  <xdr:twoCellAnchor>
    <xdr:from>
      <xdr:col>6</xdr:col>
      <xdr:colOff>610790</xdr:colOff>
      <xdr:row>5</xdr:row>
      <xdr:rowOff>77389</xdr:rowOff>
    </xdr:from>
    <xdr:to>
      <xdr:col>9</xdr:col>
      <xdr:colOff>105104</xdr:colOff>
      <xdr:row>7</xdr:row>
      <xdr:rowOff>41670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639865" y="791764"/>
          <a:ext cx="1027839" cy="2500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5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MINISTRY OF</a:t>
          </a:r>
          <a:r>
            <a:rPr lang="ar-EG" sz="5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5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ENVIRONMENT</a:t>
          </a:r>
          <a:r>
            <a:rPr lang="ar-EG" sz="5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5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,WATER &amp;AGRICULTURE</a:t>
          </a: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81646</xdr:colOff>
      <xdr:row>0</xdr:row>
      <xdr:rowOff>69206</xdr:rowOff>
    </xdr:from>
    <xdr:to>
      <xdr:col>10</xdr:col>
      <xdr:colOff>1295403</xdr:colOff>
      <xdr:row>6</xdr:row>
      <xdr:rowOff>98571</xdr:rowOff>
    </xdr:to>
    <xdr:pic>
      <xdr:nvPicPr>
        <xdr:cNvPr id="2" name="صورة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505"/>
        <a:stretch/>
      </xdr:blipFill>
      <xdr:spPr>
        <a:xfrm>
          <a:off x="5644246" y="69206"/>
          <a:ext cx="1985282" cy="88661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0</xdr:row>
          <xdr:rowOff>28575</xdr:rowOff>
        </xdr:from>
        <xdr:to>
          <xdr:col>8</xdr:col>
          <xdr:colOff>409575</xdr:colOff>
          <xdr:row>5</xdr:row>
          <xdr:rowOff>114300</xdr:rowOff>
        </xdr:to>
        <xdr:sp macro="" textlink="">
          <xdr:nvSpPr>
            <xdr:cNvPr id="142337" name="Object 1" hidden="1">
              <a:extLst>
                <a:ext uri="{63B3BB69-23CF-44E3-9099-C40C66FF867C}">
                  <a14:compatExt spid="_x0000_s142337"/>
                </a:ext>
                <a:ext uri="{FF2B5EF4-FFF2-40B4-BE49-F238E27FC236}">
                  <a16:creationId xmlns:a16="http://schemas.microsoft.com/office/drawing/2014/main" id="{00000000-0008-0000-0100-0000012C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2</xdr:col>
      <xdr:colOff>112059</xdr:colOff>
      <xdr:row>0</xdr:row>
      <xdr:rowOff>90488</xdr:rowOff>
    </xdr:from>
    <xdr:to>
      <xdr:col>6</xdr:col>
      <xdr:colOff>529817</xdr:colOff>
      <xdr:row>6</xdr:row>
      <xdr:rowOff>95249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443" r="2690" b="12637"/>
        <a:stretch/>
      </xdr:blipFill>
      <xdr:spPr>
        <a:xfrm>
          <a:off x="2188509" y="90488"/>
          <a:ext cx="2370383" cy="862011"/>
        </a:xfrm>
        <a:prstGeom prst="rect">
          <a:avLst/>
        </a:prstGeom>
      </xdr:spPr>
    </xdr:pic>
    <xdr:clientData/>
  </xdr:twoCellAnchor>
  <xdr:twoCellAnchor editAs="oneCell">
    <xdr:from>
      <xdr:col>0</xdr:col>
      <xdr:colOff>87087</xdr:colOff>
      <xdr:row>0</xdr:row>
      <xdr:rowOff>48988</xdr:rowOff>
    </xdr:from>
    <xdr:to>
      <xdr:col>1</xdr:col>
      <xdr:colOff>1725387</xdr:colOff>
      <xdr:row>6</xdr:row>
      <xdr:rowOff>85540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087" y="48988"/>
          <a:ext cx="1952625" cy="893802"/>
        </a:xfrm>
        <a:prstGeom prst="rect">
          <a:avLst/>
        </a:prstGeom>
      </xdr:spPr>
    </xdr:pic>
    <xdr:clientData/>
  </xdr:twoCellAnchor>
  <xdr:twoCellAnchor>
    <xdr:from>
      <xdr:col>1</xdr:col>
      <xdr:colOff>1744265</xdr:colOff>
      <xdr:row>0</xdr:row>
      <xdr:rowOff>0</xdr:rowOff>
    </xdr:from>
    <xdr:to>
      <xdr:col>4</xdr:col>
      <xdr:colOff>148827</xdr:colOff>
      <xdr:row>1</xdr:row>
      <xdr:rowOff>65484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2058590" y="0"/>
          <a:ext cx="938212" cy="2083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CONSULTANT</a:t>
          </a:r>
        </a:p>
        <a:p>
          <a:endParaRPr lang="en-US" sz="1100"/>
        </a:p>
      </xdr:txBody>
    </xdr:sp>
    <xdr:clientData/>
  </xdr:twoCellAnchor>
  <xdr:twoCellAnchor>
    <xdr:from>
      <xdr:col>6</xdr:col>
      <xdr:colOff>610790</xdr:colOff>
      <xdr:row>5</xdr:row>
      <xdr:rowOff>77389</xdr:rowOff>
    </xdr:from>
    <xdr:to>
      <xdr:col>9</xdr:col>
      <xdr:colOff>105104</xdr:colOff>
      <xdr:row>7</xdr:row>
      <xdr:rowOff>41670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4639865" y="791764"/>
          <a:ext cx="1027839" cy="2500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5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MINISTRY OF</a:t>
          </a:r>
          <a:r>
            <a:rPr lang="ar-EG" sz="5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5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ENVIRONMENT</a:t>
          </a:r>
          <a:r>
            <a:rPr lang="ar-EG" sz="5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5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,WATER &amp;AGRICULTURE</a:t>
          </a: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1EE44-5EB6-46CA-A58F-EBB44460CC66}">
  <sheetPr>
    <pageSetUpPr fitToPage="1"/>
  </sheetPr>
  <dimension ref="A1:K27"/>
  <sheetViews>
    <sheetView view="pageBreakPreview" zoomScale="115" zoomScaleSheetLayoutView="115" workbookViewId="0">
      <selection activeCell="A8" sqref="A8:C8"/>
    </sheetView>
  </sheetViews>
  <sheetFormatPr defaultRowHeight="15"/>
  <cols>
    <col min="1" max="1" width="4.7109375" customWidth="1"/>
    <col min="2" max="2" width="26.42578125" bestFit="1" customWidth="1"/>
    <col min="3" max="3" width="6" customWidth="1"/>
    <col min="4" max="4" width="5.5703125" style="36" customWidth="1"/>
    <col min="5" max="5" width="11" style="37" customWidth="1"/>
    <col min="6" max="6" width="6.7109375" style="37" customWidth="1"/>
    <col min="7" max="7" width="9.28515625" style="37" customWidth="1"/>
    <col min="8" max="8" width="6" style="37" customWidth="1"/>
    <col min="9" max="9" width="7.7109375" style="37" customWidth="1"/>
    <col min="10" max="10" width="11.5703125" style="37" customWidth="1"/>
    <col min="11" max="11" width="20.42578125" customWidth="1"/>
  </cols>
  <sheetData>
    <row r="1" spans="1:11" s="2" customFormat="1" ht="11.25" customHeight="1" thickTop="1">
      <c r="A1" s="89"/>
      <c r="B1" s="90"/>
      <c r="C1" s="89"/>
      <c r="D1" s="95"/>
      <c r="E1" s="95"/>
      <c r="F1" s="95"/>
      <c r="G1" s="90"/>
      <c r="H1" s="98"/>
      <c r="I1" s="99"/>
      <c r="J1" s="104"/>
      <c r="K1" s="99"/>
    </row>
    <row r="2" spans="1:11" s="2" customFormat="1" ht="11.25" customHeight="1">
      <c r="A2" s="91"/>
      <c r="B2" s="92"/>
      <c r="C2" s="91"/>
      <c r="D2" s="96"/>
      <c r="E2" s="96"/>
      <c r="F2" s="96"/>
      <c r="G2" s="92"/>
      <c r="H2" s="100"/>
      <c r="I2" s="101"/>
      <c r="J2" s="105"/>
      <c r="K2" s="101"/>
    </row>
    <row r="3" spans="1:11" s="2" customFormat="1" ht="11.25" customHeight="1">
      <c r="A3" s="91"/>
      <c r="B3" s="92"/>
      <c r="C3" s="91"/>
      <c r="D3" s="96"/>
      <c r="E3" s="96"/>
      <c r="F3" s="96"/>
      <c r="G3" s="92"/>
      <c r="H3" s="100"/>
      <c r="I3" s="101"/>
      <c r="J3" s="105"/>
      <c r="K3" s="101"/>
    </row>
    <row r="4" spans="1:11" s="4" customFormat="1" ht="11.25" customHeight="1">
      <c r="A4" s="91"/>
      <c r="B4" s="92"/>
      <c r="C4" s="91"/>
      <c r="D4" s="96"/>
      <c r="E4" s="96"/>
      <c r="F4" s="96"/>
      <c r="G4" s="92"/>
      <c r="H4" s="100"/>
      <c r="I4" s="101"/>
      <c r="J4" s="105"/>
      <c r="K4" s="101"/>
    </row>
    <row r="5" spans="1:11" s="4" customFormat="1" ht="11.25" customHeight="1">
      <c r="A5" s="91"/>
      <c r="B5" s="92"/>
      <c r="C5" s="91"/>
      <c r="D5" s="96"/>
      <c r="E5" s="96"/>
      <c r="F5" s="96"/>
      <c r="G5" s="92"/>
      <c r="H5" s="100"/>
      <c r="I5" s="101"/>
      <c r="J5" s="105"/>
      <c r="K5" s="101"/>
    </row>
    <row r="6" spans="1:11" s="4" customFormat="1" ht="11.25" customHeight="1">
      <c r="A6" s="91"/>
      <c r="B6" s="92"/>
      <c r="C6" s="91"/>
      <c r="D6" s="96"/>
      <c r="E6" s="96"/>
      <c r="F6" s="96"/>
      <c r="G6" s="92"/>
      <c r="H6" s="100"/>
      <c r="I6" s="101"/>
      <c r="J6" s="105"/>
      <c r="K6" s="101"/>
    </row>
    <row r="7" spans="1:11" s="4" customFormat="1" ht="11.25" customHeight="1" thickBot="1">
      <c r="A7" s="93"/>
      <c r="B7" s="94"/>
      <c r="C7" s="93"/>
      <c r="D7" s="97"/>
      <c r="E7" s="97"/>
      <c r="F7" s="97"/>
      <c r="G7" s="94"/>
      <c r="H7" s="102"/>
      <c r="I7" s="103"/>
      <c r="J7" s="106"/>
      <c r="K7" s="103"/>
    </row>
    <row r="8" spans="1:11" s="4" customFormat="1" ht="27.75" customHeight="1" thickTop="1">
      <c r="A8" s="107" t="s">
        <v>34</v>
      </c>
      <c r="B8" s="108"/>
      <c r="C8" s="108"/>
      <c r="D8" s="108" t="s">
        <v>20</v>
      </c>
      <c r="E8" s="108"/>
      <c r="F8" s="108" t="s">
        <v>24</v>
      </c>
      <c r="G8" s="108"/>
      <c r="H8" s="108"/>
      <c r="I8" s="108"/>
      <c r="J8" s="108"/>
      <c r="K8" s="38" t="s">
        <v>19</v>
      </c>
    </row>
    <row r="9" spans="1:11" s="4" customFormat="1" ht="27" customHeight="1">
      <c r="A9" s="78" t="s">
        <v>18</v>
      </c>
      <c r="B9" s="79"/>
      <c r="C9" s="79"/>
      <c r="D9" s="80"/>
      <c r="E9" s="80"/>
      <c r="F9" s="81" t="s">
        <v>22</v>
      </c>
      <c r="G9" s="81"/>
      <c r="H9" s="82" t="s">
        <v>23</v>
      </c>
      <c r="I9" s="81"/>
      <c r="J9" s="81"/>
      <c r="K9" s="39" t="s">
        <v>21</v>
      </c>
    </row>
    <row r="10" spans="1:11" s="4" customFormat="1" ht="36" customHeight="1" thickBot="1">
      <c r="A10" s="83" t="s">
        <v>26</v>
      </c>
      <c r="B10" s="84"/>
      <c r="C10" s="84"/>
      <c r="D10" s="84"/>
      <c r="E10" s="84"/>
      <c r="F10" s="84"/>
      <c r="G10" s="84"/>
      <c r="H10" s="84"/>
      <c r="I10" s="84"/>
      <c r="J10" s="84"/>
      <c r="K10" s="40" t="s">
        <v>17</v>
      </c>
    </row>
    <row r="11" spans="1:11" s="2" customFormat="1" ht="14.25" customHeight="1" thickTop="1">
      <c r="A11" s="85" t="s">
        <v>0</v>
      </c>
      <c r="B11" s="87" t="s">
        <v>1</v>
      </c>
      <c r="C11" s="87" t="s">
        <v>2</v>
      </c>
      <c r="D11" s="87" t="s">
        <v>3</v>
      </c>
      <c r="E11" s="69" t="s">
        <v>4</v>
      </c>
      <c r="F11" s="69" t="s">
        <v>5</v>
      </c>
      <c r="G11" s="69" t="s">
        <v>6</v>
      </c>
      <c r="H11" s="71" t="s">
        <v>7</v>
      </c>
      <c r="I11" s="72"/>
      <c r="J11" s="69" t="s">
        <v>8</v>
      </c>
      <c r="K11" s="73" t="s">
        <v>9</v>
      </c>
    </row>
    <row r="12" spans="1:11" s="2" customFormat="1" ht="14.25" customHeight="1">
      <c r="A12" s="86"/>
      <c r="B12" s="88"/>
      <c r="C12" s="88"/>
      <c r="D12" s="88"/>
      <c r="E12" s="70"/>
      <c r="F12" s="70"/>
      <c r="G12" s="70"/>
      <c r="H12" s="64" t="s">
        <v>10</v>
      </c>
      <c r="I12" s="64" t="s">
        <v>11</v>
      </c>
      <c r="J12" s="70"/>
      <c r="K12" s="74"/>
    </row>
    <row r="13" spans="1:11">
      <c r="A13" s="5"/>
      <c r="B13" s="41"/>
      <c r="C13" s="42"/>
      <c r="D13" s="42"/>
      <c r="E13" s="43"/>
      <c r="F13" s="44"/>
      <c r="G13" s="43"/>
      <c r="H13" s="43"/>
      <c r="I13" s="43"/>
      <c r="J13" s="45"/>
      <c r="K13" s="46"/>
    </row>
    <row r="14" spans="1:11" ht="18.75">
      <c r="A14" s="6"/>
      <c r="B14" s="75" t="s">
        <v>29</v>
      </c>
      <c r="C14" s="76"/>
      <c r="D14" s="76"/>
      <c r="E14" s="76"/>
      <c r="F14" s="76"/>
      <c r="G14" s="76"/>
      <c r="H14" s="76"/>
      <c r="I14" s="76"/>
      <c r="J14" s="77"/>
      <c r="K14" s="52"/>
    </row>
    <row r="15" spans="1:11" ht="15.75">
      <c r="A15" s="7"/>
      <c r="B15" s="61"/>
      <c r="C15" s="66"/>
      <c r="D15" s="47"/>
      <c r="E15" s="48"/>
      <c r="F15" s="49"/>
      <c r="G15" s="50"/>
      <c r="H15" s="54"/>
      <c r="I15" s="55"/>
      <c r="J15" s="60"/>
      <c r="K15" s="52"/>
    </row>
    <row r="16" spans="1:11">
      <c r="A16" s="7"/>
      <c r="B16" s="56" t="s">
        <v>29</v>
      </c>
      <c r="C16" s="66"/>
      <c r="D16" s="47"/>
      <c r="E16" s="48"/>
      <c r="F16" s="49"/>
      <c r="G16" s="50"/>
      <c r="H16" s="54"/>
      <c r="I16" s="55"/>
      <c r="J16" s="60"/>
      <c r="K16" s="52"/>
    </row>
    <row r="17" spans="1:11">
      <c r="A17" s="7"/>
      <c r="B17" s="62"/>
      <c r="C17" s="65" t="s">
        <v>31</v>
      </c>
      <c r="D17" s="47">
        <v>2</v>
      </c>
      <c r="E17" s="49">
        <v>10</v>
      </c>
      <c r="F17" s="49">
        <v>15</v>
      </c>
      <c r="G17" s="49">
        <v>1</v>
      </c>
      <c r="H17" s="54"/>
      <c r="I17" s="55"/>
      <c r="J17" s="60">
        <f>G17*F17*E17*D17</f>
        <v>300</v>
      </c>
      <c r="K17" s="52"/>
    </row>
    <row r="18" spans="1:11">
      <c r="A18" s="7"/>
      <c r="B18" s="62" t="s">
        <v>32</v>
      </c>
      <c r="C18" s="65" t="s">
        <v>31</v>
      </c>
      <c r="D18" s="47">
        <v>1</v>
      </c>
      <c r="E18" s="49">
        <v>1.4</v>
      </c>
      <c r="F18" s="49">
        <v>15</v>
      </c>
      <c r="G18" s="49">
        <v>1</v>
      </c>
      <c r="H18" s="54"/>
      <c r="I18" s="55"/>
      <c r="J18" s="60">
        <f>G18*F18*E18*D18</f>
        <v>21</v>
      </c>
      <c r="K18" s="52"/>
    </row>
    <row r="19" spans="1:11" ht="14.25" customHeight="1">
      <c r="A19" s="7"/>
      <c r="B19" s="62" t="s">
        <v>33</v>
      </c>
      <c r="C19" s="65" t="s">
        <v>31</v>
      </c>
      <c r="D19" s="47">
        <v>2</v>
      </c>
      <c r="E19" s="67">
        <v>7.8789999999999996</v>
      </c>
      <c r="F19" s="68"/>
      <c r="G19" s="49">
        <v>1</v>
      </c>
      <c r="H19" s="54"/>
      <c r="I19" s="55"/>
      <c r="J19" s="60">
        <f>G19*E19*D19</f>
        <v>15.757999999999999</v>
      </c>
      <c r="K19" s="58"/>
    </row>
    <row r="20" spans="1:11" ht="14.25" customHeight="1">
      <c r="A20" s="7"/>
      <c r="B20" s="62"/>
      <c r="C20" s="65"/>
      <c r="D20" s="57"/>
      <c r="E20" s="49"/>
      <c r="F20" s="49"/>
      <c r="G20" s="63"/>
      <c r="H20" s="54"/>
      <c r="I20" s="55"/>
      <c r="J20" s="60"/>
      <c r="K20" s="58"/>
    </row>
    <row r="21" spans="1:11" ht="14.25" customHeight="1">
      <c r="A21" s="7"/>
      <c r="B21" s="62"/>
      <c r="C21" s="65"/>
      <c r="D21" s="57"/>
      <c r="E21" s="49"/>
      <c r="F21" s="49"/>
      <c r="G21" s="63"/>
      <c r="H21" s="54"/>
      <c r="I21" s="55"/>
      <c r="J21" s="60"/>
      <c r="K21" s="58"/>
    </row>
    <row r="22" spans="1:11" ht="14.25" customHeight="1">
      <c r="A22" s="7"/>
      <c r="B22" s="62"/>
      <c r="C22" s="65"/>
      <c r="D22" s="57"/>
      <c r="E22" s="49"/>
      <c r="F22" s="49"/>
      <c r="G22" s="63"/>
      <c r="H22" s="54"/>
      <c r="I22" s="55"/>
      <c r="J22" s="60"/>
      <c r="K22" s="58"/>
    </row>
    <row r="23" spans="1:11">
      <c r="A23" s="7"/>
      <c r="B23" s="53"/>
      <c r="C23" s="65"/>
      <c r="D23" s="57"/>
      <c r="E23" s="49"/>
      <c r="F23" s="49"/>
      <c r="G23" s="50"/>
      <c r="H23" s="54"/>
      <c r="I23" s="55"/>
      <c r="J23" s="51"/>
      <c r="K23" s="58"/>
    </row>
    <row r="24" spans="1:11">
      <c r="A24" s="8"/>
      <c r="B24" s="9"/>
      <c r="C24" s="10"/>
      <c r="D24" s="11"/>
      <c r="E24" s="12"/>
      <c r="F24" s="12"/>
      <c r="G24" s="12"/>
      <c r="H24" s="13"/>
      <c r="I24" s="14"/>
      <c r="J24" s="14"/>
      <c r="K24" s="15"/>
    </row>
    <row r="25" spans="1:11" ht="15.75" thickBot="1">
      <c r="A25" s="16"/>
      <c r="B25" s="17" t="s">
        <v>12</v>
      </c>
      <c r="C25" s="18"/>
      <c r="D25" s="19"/>
      <c r="E25" s="20"/>
      <c r="F25" s="21"/>
      <c r="G25" s="22"/>
      <c r="H25" s="23"/>
      <c r="I25" s="23"/>
      <c r="J25" s="59">
        <f>SUM(J15:J24)</f>
        <v>336.75799999999998</v>
      </c>
      <c r="K25" s="24"/>
    </row>
    <row r="26" spans="1:11" ht="16.5" thickTop="1">
      <c r="A26" s="25"/>
      <c r="B26" s="26" t="s">
        <v>13</v>
      </c>
      <c r="C26" s="27"/>
      <c r="D26" s="28"/>
      <c r="E26" s="29"/>
      <c r="F26" s="1"/>
      <c r="G26" s="29"/>
      <c r="H26" s="27"/>
      <c r="I26" s="27"/>
      <c r="J26" s="27" t="s">
        <v>14</v>
      </c>
      <c r="K26" s="30"/>
    </row>
    <row r="27" spans="1:11" ht="15.75">
      <c r="A27" s="31"/>
      <c r="B27" s="32" t="s">
        <v>15</v>
      </c>
      <c r="C27" s="33"/>
      <c r="D27" s="34"/>
      <c r="E27" s="33"/>
      <c r="F27" s="3"/>
      <c r="G27" s="33"/>
      <c r="H27" s="33"/>
      <c r="I27" s="33"/>
      <c r="J27" s="32" t="s">
        <v>16</v>
      </c>
      <c r="K27" s="35"/>
    </row>
  </sheetData>
  <mergeCells count="24">
    <mergeCell ref="A1:B7"/>
    <mergeCell ref="C1:G7"/>
    <mergeCell ref="H1:I7"/>
    <mergeCell ref="J1:K7"/>
    <mergeCell ref="A8:C8"/>
    <mergeCell ref="D8:E8"/>
    <mergeCell ref="F8:J8"/>
    <mergeCell ref="K11:K12"/>
    <mergeCell ref="B14:J14"/>
    <mergeCell ref="A9:C9"/>
    <mergeCell ref="D9:E9"/>
    <mergeCell ref="F9:G9"/>
    <mergeCell ref="H9:J9"/>
    <mergeCell ref="A10:J10"/>
    <mergeCell ref="A11:A12"/>
    <mergeCell ref="B11:B12"/>
    <mergeCell ref="C11:C12"/>
    <mergeCell ref="D11:D12"/>
    <mergeCell ref="E11:E12"/>
    <mergeCell ref="E19:F19"/>
    <mergeCell ref="F11:F12"/>
    <mergeCell ref="G11:G12"/>
    <mergeCell ref="H11:I11"/>
    <mergeCell ref="J11:J12"/>
  </mergeCells>
  <printOptions horizontalCentered="1"/>
  <pageMargins left="0.25" right="0.25" top="0.25" bottom="0" header="0.25" footer="0"/>
  <pageSetup paperSize="9" scale="86" fitToHeight="0" orientation="portrait" r:id="rId1"/>
  <headerFooter>
    <oddFooter>&amp;Rاعداد  : 
مهندس المقاول :</oddFooter>
  </headerFooter>
  <drawing r:id="rId2"/>
  <legacyDrawing r:id="rId3"/>
  <oleObjects>
    <mc:AlternateContent xmlns:mc="http://schemas.openxmlformats.org/markup-compatibility/2006">
      <mc:Choice Requires="x14">
        <oleObject progId="StaticMetafile" shapeId="143361" r:id="rId4">
          <objectPr defaultSize="0" autoPict="0" r:id="rId5">
            <anchor moveWithCells="1">
              <from>
                <xdr:col>7</xdr:col>
                <xdr:colOff>114300</xdr:colOff>
                <xdr:row>0</xdr:row>
                <xdr:rowOff>28575</xdr:rowOff>
              </from>
              <to>
                <xdr:col>8</xdr:col>
                <xdr:colOff>409575</xdr:colOff>
                <xdr:row>5</xdr:row>
                <xdr:rowOff>114300</xdr:rowOff>
              </to>
            </anchor>
          </objectPr>
        </oleObject>
      </mc:Choice>
      <mc:Fallback>
        <oleObject progId="StaticMetafile" shapeId="143361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8A681-AE99-4CFD-BEA3-9B05F5345DFF}">
  <sheetPr>
    <pageSetUpPr fitToPage="1"/>
  </sheetPr>
  <dimension ref="A1:K24"/>
  <sheetViews>
    <sheetView tabSelected="1" view="pageBreakPreview" zoomScale="115" zoomScaleSheetLayoutView="115" workbookViewId="0">
      <selection activeCell="C13" sqref="C13"/>
    </sheetView>
  </sheetViews>
  <sheetFormatPr defaultRowHeight="15"/>
  <cols>
    <col min="1" max="1" width="4.7109375" customWidth="1"/>
    <col min="2" max="2" width="26.42578125" bestFit="1" customWidth="1"/>
    <col min="3" max="3" width="6" customWidth="1"/>
    <col min="4" max="4" width="5.5703125" style="36" customWidth="1"/>
    <col min="5" max="5" width="11" style="37" customWidth="1"/>
    <col min="6" max="6" width="6.7109375" style="37" customWidth="1"/>
    <col min="7" max="7" width="9.28515625" style="37" customWidth="1"/>
    <col min="8" max="8" width="6" style="37" customWidth="1"/>
    <col min="9" max="9" width="7.7109375" style="37" customWidth="1"/>
    <col min="10" max="10" width="11.5703125" style="37" customWidth="1"/>
    <col min="11" max="11" width="20.42578125" customWidth="1"/>
  </cols>
  <sheetData>
    <row r="1" spans="1:11" s="2" customFormat="1" ht="11.25" customHeight="1" thickTop="1">
      <c r="A1" s="89"/>
      <c r="B1" s="90"/>
      <c r="C1" s="89"/>
      <c r="D1" s="95"/>
      <c r="E1" s="95"/>
      <c r="F1" s="95"/>
      <c r="G1" s="90"/>
      <c r="H1" s="98"/>
      <c r="I1" s="99"/>
      <c r="J1" s="104"/>
      <c r="K1" s="99"/>
    </row>
    <row r="2" spans="1:11" s="2" customFormat="1" ht="11.25" customHeight="1">
      <c r="A2" s="91"/>
      <c r="B2" s="92"/>
      <c r="C2" s="91"/>
      <c r="D2" s="96"/>
      <c r="E2" s="96"/>
      <c r="F2" s="96"/>
      <c r="G2" s="92"/>
      <c r="H2" s="100"/>
      <c r="I2" s="101"/>
      <c r="J2" s="105"/>
      <c r="K2" s="101"/>
    </row>
    <row r="3" spans="1:11" s="2" customFormat="1" ht="11.25" customHeight="1">
      <c r="A3" s="91"/>
      <c r="B3" s="92"/>
      <c r="C3" s="91"/>
      <c r="D3" s="96"/>
      <c r="E3" s="96"/>
      <c r="F3" s="96"/>
      <c r="G3" s="92"/>
      <c r="H3" s="100"/>
      <c r="I3" s="101"/>
      <c r="J3" s="105"/>
      <c r="K3" s="101"/>
    </row>
    <row r="4" spans="1:11" s="4" customFormat="1" ht="11.25" customHeight="1">
      <c r="A4" s="91"/>
      <c r="B4" s="92"/>
      <c r="C4" s="91"/>
      <c r="D4" s="96"/>
      <c r="E4" s="96"/>
      <c r="F4" s="96"/>
      <c r="G4" s="92"/>
      <c r="H4" s="100"/>
      <c r="I4" s="101"/>
      <c r="J4" s="105"/>
      <c r="K4" s="101"/>
    </row>
    <row r="5" spans="1:11" s="4" customFormat="1" ht="11.25" customHeight="1">
      <c r="A5" s="91"/>
      <c r="B5" s="92"/>
      <c r="C5" s="91"/>
      <c r="D5" s="96"/>
      <c r="E5" s="96"/>
      <c r="F5" s="96"/>
      <c r="G5" s="92"/>
      <c r="H5" s="100"/>
      <c r="I5" s="101"/>
      <c r="J5" s="105"/>
      <c r="K5" s="101"/>
    </row>
    <row r="6" spans="1:11" s="4" customFormat="1" ht="11.25" customHeight="1">
      <c r="A6" s="91"/>
      <c r="B6" s="92"/>
      <c r="C6" s="91"/>
      <c r="D6" s="96"/>
      <c r="E6" s="96"/>
      <c r="F6" s="96"/>
      <c r="G6" s="92"/>
      <c r="H6" s="100"/>
      <c r="I6" s="101"/>
      <c r="J6" s="105"/>
      <c r="K6" s="101"/>
    </row>
    <row r="7" spans="1:11" s="4" customFormat="1" ht="11.25" customHeight="1" thickBot="1">
      <c r="A7" s="93"/>
      <c r="B7" s="94"/>
      <c r="C7" s="93"/>
      <c r="D7" s="97"/>
      <c r="E7" s="97"/>
      <c r="F7" s="97"/>
      <c r="G7" s="94"/>
      <c r="H7" s="102"/>
      <c r="I7" s="103"/>
      <c r="J7" s="106"/>
      <c r="K7" s="103"/>
    </row>
    <row r="8" spans="1:11" s="4" customFormat="1" ht="27.75" customHeight="1" thickTop="1">
      <c r="A8" s="107" t="s">
        <v>34</v>
      </c>
      <c r="B8" s="108"/>
      <c r="C8" s="108"/>
      <c r="D8" s="108" t="s">
        <v>20</v>
      </c>
      <c r="E8" s="108"/>
      <c r="F8" s="108" t="s">
        <v>24</v>
      </c>
      <c r="G8" s="108"/>
      <c r="H8" s="108"/>
      <c r="I8" s="108"/>
      <c r="J8" s="108"/>
      <c r="K8" s="38" t="s">
        <v>19</v>
      </c>
    </row>
    <row r="9" spans="1:11" s="4" customFormat="1" ht="27" customHeight="1">
      <c r="A9" s="78" t="s">
        <v>18</v>
      </c>
      <c r="B9" s="79"/>
      <c r="C9" s="79"/>
      <c r="D9" s="80"/>
      <c r="E9" s="80"/>
      <c r="F9" s="81" t="s">
        <v>22</v>
      </c>
      <c r="G9" s="81"/>
      <c r="H9" s="82" t="s">
        <v>23</v>
      </c>
      <c r="I9" s="81"/>
      <c r="J9" s="81"/>
      <c r="K9" s="39" t="s">
        <v>21</v>
      </c>
    </row>
    <row r="10" spans="1:11" s="4" customFormat="1" ht="36" customHeight="1" thickBot="1">
      <c r="A10" s="83" t="s">
        <v>28</v>
      </c>
      <c r="B10" s="84"/>
      <c r="C10" s="84"/>
      <c r="D10" s="84"/>
      <c r="E10" s="84"/>
      <c r="F10" s="84"/>
      <c r="G10" s="84"/>
      <c r="H10" s="84"/>
      <c r="I10" s="84"/>
      <c r="J10" s="84"/>
      <c r="K10" s="40" t="s">
        <v>17</v>
      </c>
    </row>
    <row r="11" spans="1:11" s="2" customFormat="1" ht="14.25" customHeight="1" thickTop="1">
      <c r="A11" s="85" t="s">
        <v>0</v>
      </c>
      <c r="B11" s="87" t="s">
        <v>1</v>
      </c>
      <c r="C11" s="87" t="s">
        <v>2</v>
      </c>
      <c r="D11" s="87" t="s">
        <v>3</v>
      </c>
      <c r="E11" s="69" t="s">
        <v>4</v>
      </c>
      <c r="F11" s="69" t="s">
        <v>5</v>
      </c>
      <c r="G11" s="69" t="s">
        <v>6</v>
      </c>
      <c r="H11" s="71" t="s">
        <v>7</v>
      </c>
      <c r="I11" s="72"/>
      <c r="J11" s="69" t="s">
        <v>8</v>
      </c>
      <c r="K11" s="73" t="s">
        <v>9</v>
      </c>
    </row>
    <row r="12" spans="1:11" s="2" customFormat="1" ht="14.25" customHeight="1">
      <c r="A12" s="86"/>
      <c r="B12" s="88"/>
      <c r="C12" s="88"/>
      <c r="D12" s="88"/>
      <c r="E12" s="70"/>
      <c r="F12" s="70"/>
      <c r="G12" s="70"/>
      <c r="H12" s="64" t="s">
        <v>10</v>
      </c>
      <c r="I12" s="64" t="s">
        <v>11</v>
      </c>
      <c r="J12" s="70"/>
      <c r="K12" s="74"/>
    </row>
    <row r="13" spans="1:11">
      <c r="A13" s="5"/>
      <c r="B13" s="41"/>
      <c r="C13" s="42"/>
      <c r="D13" s="42"/>
      <c r="E13" s="43"/>
      <c r="F13" s="44"/>
      <c r="G13" s="43"/>
      <c r="H13" s="43"/>
      <c r="I13" s="43"/>
      <c r="J13" s="45"/>
      <c r="K13" s="46"/>
    </row>
    <row r="14" spans="1:11" ht="18.75">
      <c r="A14" s="6"/>
      <c r="B14" s="75" t="s">
        <v>27</v>
      </c>
      <c r="C14" s="76"/>
      <c r="D14" s="76"/>
      <c r="E14" s="76"/>
      <c r="F14" s="76"/>
      <c r="G14" s="76"/>
      <c r="H14" s="76"/>
      <c r="I14" s="76"/>
      <c r="J14" s="77"/>
      <c r="K14" s="52"/>
    </row>
    <row r="15" spans="1:11" ht="15.75">
      <c r="A15" s="7"/>
      <c r="B15" s="61"/>
      <c r="C15" s="66"/>
      <c r="D15" s="47"/>
      <c r="E15" s="48"/>
      <c r="F15" s="49"/>
      <c r="G15" s="50"/>
      <c r="H15" s="54"/>
      <c r="I15" s="55"/>
      <c r="J15" s="60"/>
      <c r="K15" s="52"/>
    </row>
    <row r="16" spans="1:11">
      <c r="A16" s="7"/>
      <c r="B16" s="56"/>
      <c r="C16" s="66"/>
      <c r="D16" s="47"/>
      <c r="E16" s="48"/>
      <c r="F16" s="49"/>
      <c r="G16" s="50"/>
      <c r="H16" s="54"/>
      <c r="I16" s="55"/>
      <c r="J16" s="60"/>
      <c r="K16" s="52"/>
    </row>
    <row r="17" spans="1:11">
      <c r="A17" s="7"/>
      <c r="B17" s="56" t="s">
        <v>30</v>
      </c>
      <c r="C17" s="65" t="s">
        <v>25</v>
      </c>
      <c r="D17" s="47">
        <v>4</v>
      </c>
      <c r="E17" s="49">
        <v>14.8</v>
      </c>
      <c r="F17" s="49">
        <v>1</v>
      </c>
      <c r="G17" s="49">
        <v>1</v>
      </c>
      <c r="H17" s="54"/>
      <c r="I17" s="55"/>
      <c r="J17" s="60">
        <f>G17*F17*E17*D17</f>
        <v>59.2</v>
      </c>
      <c r="K17" s="52"/>
    </row>
    <row r="18" spans="1:11">
      <c r="A18" s="7"/>
      <c r="B18" s="56"/>
      <c r="C18" s="65" t="s">
        <v>25</v>
      </c>
      <c r="D18" s="47">
        <v>4</v>
      </c>
      <c r="E18" s="49">
        <v>9.8000000000000007</v>
      </c>
      <c r="F18" s="49">
        <v>1</v>
      </c>
      <c r="G18" s="49">
        <v>1</v>
      </c>
      <c r="H18" s="54"/>
      <c r="I18" s="55"/>
      <c r="J18" s="60">
        <f>G18*F18*E18*D18</f>
        <v>39.200000000000003</v>
      </c>
      <c r="K18" s="52"/>
    </row>
    <row r="19" spans="1:11" ht="14.25" customHeight="1">
      <c r="A19" s="7"/>
      <c r="B19" s="62"/>
      <c r="C19" s="65" t="s">
        <v>25</v>
      </c>
      <c r="D19" s="47">
        <v>2</v>
      </c>
      <c r="E19" s="49">
        <v>15.13</v>
      </c>
      <c r="F19" s="49">
        <v>1</v>
      </c>
      <c r="G19" s="49">
        <v>1</v>
      </c>
      <c r="H19" s="54"/>
      <c r="I19" s="55"/>
      <c r="J19" s="60">
        <f>G19*F19*E19*D19</f>
        <v>30.26</v>
      </c>
      <c r="K19" s="58"/>
    </row>
    <row r="20" spans="1:11">
      <c r="A20" s="7"/>
      <c r="B20" s="53"/>
      <c r="C20" s="47"/>
      <c r="D20" s="57"/>
      <c r="E20" s="49"/>
      <c r="F20" s="49"/>
      <c r="G20" s="50"/>
      <c r="H20" s="54"/>
      <c r="I20" s="55"/>
      <c r="J20" s="51"/>
      <c r="K20" s="58"/>
    </row>
    <row r="21" spans="1:11">
      <c r="A21" s="8"/>
      <c r="B21" s="9"/>
      <c r="C21" s="10"/>
      <c r="D21" s="11"/>
      <c r="E21" s="12"/>
      <c r="F21" s="12"/>
      <c r="G21" s="12"/>
      <c r="H21" s="13"/>
      <c r="I21" s="14"/>
      <c r="J21" s="14"/>
      <c r="K21" s="15"/>
    </row>
    <row r="22" spans="1:11" ht="15.75" thickBot="1">
      <c r="A22" s="16"/>
      <c r="B22" s="17" t="s">
        <v>12</v>
      </c>
      <c r="C22" s="18"/>
      <c r="D22" s="19"/>
      <c r="E22" s="20"/>
      <c r="F22" s="21"/>
      <c r="G22" s="22"/>
      <c r="H22" s="23"/>
      <c r="I22" s="23"/>
      <c r="J22" s="59">
        <f>SUM(J15:J21)</f>
        <v>128.66</v>
      </c>
      <c r="K22" s="24"/>
    </row>
    <row r="23" spans="1:11" ht="16.5" thickTop="1">
      <c r="A23" s="25"/>
      <c r="B23" s="26" t="s">
        <v>13</v>
      </c>
      <c r="C23" s="27"/>
      <c r="D23" s="28"/>
      <c r="E23" s="29"/>
      <c r="F23" s="1"/>
      <c r="G23" s="29"/>
      <c r="H23" s="27"/>
      <c r="I23" s="27"/>
      <c r="J23" s="27" t="s">
        <v>14</v>
      </c>
      <c r="K23" s="30"/>
    </row>
    <row r="24" spans="1:11" ht="15.75">
      <c r="A24" s="31"/>
      <c r="B24" s="32" t="s">
        <v>15</v>
      </c>
      <c r="C24" s="33"/>
      <c r="D24" s="34"/>
      <c r="E24" s="33"/>
      <c r="F24" s="3"/>
      <c r="G24" s="33"/>
      <c r="H24" s="33"/>
      <c r="I24" s="33"/>
      <c r="J24" s="32" t="s">
        <v>16</v>
      </c>
      <c r="K24" s="35"/>
    </row>
  </sheetData>
  <mergeCells count="23">
    <mergeCell ref="A1:B7"/>
    <mergeCell ref="C1:G7"/>
    <mergeCell ref="H1:I7"/>
    <mergeCell ref="J1:K7"/>
    <mergeCell ref="A8:C8"/>
    <mergeCell ref="D8:E8"/>
    <mergeCell ref="F8:J8"/>
    <mergeCell ref="B14:J14"/>
    <mergeCell ref="A9:C9"/>
    <mergeCell ref="D9:E9"/>
    <mergeCell ref="F9:G9"/>
    <mergeCell ref="H9:J9"/>
    <mergeCell ref="A10:J10"/>
    <mergeCell ref="A11:A12"/>
    <mergeCell ref="B11:B12"/>
    <mergeCell ref="C11:C12"/>
    <mergeCell ref="D11:D12"/>
    <mergeCell ref="E11:E12"/>
    <mergeCell ref="F11:F12"/>
    <mergeCell ref="G11:G12"/>
    <mergeCell ref="H11:I11"/>
    <mergeCell ref="J11:J12"/>
    <mergeCell ref="K11:K12"/>
  </mergeCells>
  <printOptions horizontalCentered="1"/>
  <pageMargins left="0.25" right="0.25" top="0.25" bottom="0" header="0.25" footer="0"/>
  <pageSetup paperSize="9" scale="86" fitToHeight="0" orientation="portrait" r:id="rId1"/>
  <headerFooter>
    <oddFooter>&amp;Rاعداد  : 
مهندس المقاول :</oddFooter>
  </headerFooter>
  <drawing r:id="rId2"/>
  <legacyDrawing r:id="rId3"/>
  <oleObjects>
    <mc:AlternateContent xmlns:mc="http://schemas.openxmlformats.org/markup-compatibility/2006">
      <mc:Choice Requires="x14">
        <oleObject progId="StaticMetafile" shapeId="142337" r:id="rId4">
          <objectPr defaultSize="0" autoPict="0" r:id="rId5">
            <anchor moveWithCells="1">
              <from>
                <xdr:col>7</xdr:col>
                <xdr:colOff>114300</xdr:colOff>
                <xdr:row>0</xdr:row>
                <xdr:rowOff>28575</xdr:rowOff>
              </from>
              <to>
                <xdr:col>8</xdr:col>
                <xdr:colOff>409575</xdr:colOff>
                <xdr:row>5</xdr:row>
                <xdr:rowOff>114300</xdr:rowOff>
              </to>
            </anchor>
          </objectPr>
        </oleObject>
      </mc:Choice>
      <mc:Fallback>
        <oleObject progId="StaticMetafile" shapeId="142337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الايبوكسي</vt:lpstr>
      <vt:lpstr>السور</vt:lpstr>
      <vt:lpstr>الايبوكسي!Print_Area</vt:lpstr>
      <vt:lpstr>السور!Print_Area</vt:lpstr>
      <vt:lpstr>الايبوكسي!Print_Titles</vt:lpstr>
      <vt:lpstr>السور!Print_Titles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cp:lastPrinted>2025-07-22T10:55:58Z</cp:lastPrinted>
  <dcterms:created xsi:type="dcterms:W3CDTF">2021-01-30T06:40:58Z</dcterms:created>
  <dcterms:modified xsi:type="dcterms:W3CDTF">2025-07-23T13:35:54Z</dcterms:modified>
</cp:coreProperties>
</file>