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24226"/>
  <mc:AlternateContent xmlns:mc="http://schemas.openxmlformats.org/markup-compatibility/2006">
    <mc:Choice Requires="x15">
      <x15ac:absPath xmlns:x15ac="http://schemas.microsoft.com/office/spreadsheetml/2010/11/ac" url="E:\Mechanical Projects\الانتاج الحيواني\مجلدات حصر الكميات ميكانيكا الانتاج الحيواني\"/>
    </mc:Choice>
  </mc:AlternateContent>
  <xr:revisionPtr revIDLastSave="0" documentId="13_ncr:1_{787CB0A1-3F79-48C9-904D-D114A3F6A902}" xr6:coauthVersionLast="47" xr6:coauthVersionMax="47" xr10:uidLastSave="{00000000-0000-0000-0000-000000000000}"/>
  <bookViews>
    <workbookView xWindow="-120" yWindow="-120" windowWidth="29040" windowHeight="15720" tabRatio="874" xr2:uid="{00000000-000D-0000-FFFF-FFFF00000000}"/>
  </bookViews>
  <sheets>
    <sheet name="مبنى الحراسة ميكانيكا" sheetId="46" r:id="rId1"/>
    <sheet name="مبنى غرفة الكهرباء ميكانيكا" sheetId="47" r:id="rId2"/>
    <sheet name="مبنى سكن العاملين" sheetId="49" r:id="rId3"/>
    <sheet name="مبنى العيادة ميكانيكا" sheetId="51" r:id="rId4"/>
    <sheet name="مستودع الاعلاف ميكانيكا" sheetId="48" r:id="rId5"/>
  </sheets>
  <definedNames>
    <definedName name="_xlnm.Print_Area" localSheetId="0">'مبنى الحراسة ميكانيكا'!$A$1:$J$34</definedName>
    <definedName name="_xlnm.Print_Area" localSheetId="3">'مبنى العيادة ميكانيكا'!$A$1:$J$36</definedName>
    <definedName name="_xlnm.Print_Area" localSheetId="2">'مبنى سكن العاملين'!$A$1:$J$54</definedName>
    <definedName name="_xlnm.Print_Area" localSheetId="1">'مبنى غرفة الكهرباء ميكانيكا'!$A$1:$J$28</definedName>
    <definedName name="_xlnm.Print_Area" localSheetId="4">'مستودع الاعلاف ميكانيكا'!$A$1:$J$25</definedName>
    <definedName name="_xlnm.Print_Titles" localSheetId="0">'مبنى الحراسة ميكانيكا'!$1:$11</definedName>
    <definedName name="_xlnm.Print_Titles" localSheetId="3">'مبنى العيادة ميكانيكا'!$1:$11</definedName>
    <definedName name="_xlnm.Print_Titles" localSheetId="2">'مبنى سكن العاملين'!$1:$11</definedName>
    <definedName name="_xlnm.Print_Titles" localSheetId="1">'مبنى غرفة الكهرباء ميكانيكا'!$1:$11</definedName>
    <definedName name="_xlnm.Print_Titles" localSheetId="4">'مستودع الاعلاف ميكانيكا'!$1:$11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51" l="1"/>
  <c r="I27" i="51"/>
  <c r="I26" i="51"/>
  <c r="I25" i="51"/>
  <c r="I24" i="51"/>
  <c r="I22" i="51"/>
  <c r="I21" i="51"/>
  <c r="I20" i="51"/>
  <c r="I19" i="51"/>
  <c r="I15" i="51"/>
  <c r="I25" i="48" l="1"/>
  <c r="I24" i="48"/>
  <c r="I23" i="48"/>
  <c r="I22" i="48"/>
  <c r="I21" i="48"/>
  <c r="I20" i="48"/>
  <c r="I19" i="48"/>
  <c r="I18" i="48"/>
  <c r="I17" i="48"/>
  <c r="I15" i="48"/>
  <c r="I14" i="48"/>
  <c r="I12" i="48"/>
</calcChain>
</file>

<file path=xl/sharedStrings.xml><?xml version="1.0" encoding="utf-8"?>
<sst xmlns="http://schemas.openxmlformats.org/spreadsheetml/2006/main" count="358" uniqueCount="132">
  <si>
    <t>Sr. #</t>
  </si>
  <si>
    <t>DESCRIPTION</t>
  </si>
  <si>
    <t>UNIT</t>
  </si>
  <si>
    <t>L</t>
  </si>
  <si>
    <t>W</t>
  </si>
  <si>
    <t>H</t>
  </si>
  <si>
    <t>QTY</t>
  </si>
  <si>
    <t xml:space="preserve">TOTAL </t>
  </si>
  <si>
    <t>REMARKS</t>
  </si>
  <si>
    <t>+</t>
  </si>
  <si>
    <t>-</t>
  </si>
  <si>
    <t>اسم المشروع :</t>
  </si>
  <si>
    <t>نوع الاعمال :</t>
  </si>
  <si>
    <t>رقم البند :</t>
  </si>
  <si>
    <t>عدد</t>
  </si>
  <si>
    <t>حظائر تربية الاغنام و الماشية</t>
  </si>
  <si>
    <t>ميكانيكا</t>
  </si>
  <si>
    <t xml:space="preserve">الوحدة :     </t>
  </si>
  <si>
    <t>م.ط</t>
  </si>
  <si>
    <t>مبنى الحراسة</t>
  </si>
  <si>
    <t>أعمال التدفئة والتهوية والتكييف:- بالعدد توريد وتركيب وتشغيل وأختبار ستارة من الهواء ، ومسافة القذف لا تقل عن 3 م، متصلا مع فتح الباب والسعر يشمل المروحة، والموتور، وجميع عناصر العمل الكهربائية والأسلاك، والقاعدة الخ وجميع الملحقات وما يلزم لإنهاء العمل إنهاءا تاماً حسب المواصفات والمخططات وأعتماد المهندس المشرف</t>
  </si>
  <si>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</si>
  <si>
    <t>الأجهزة الصحية :- 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</si>
  <si>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</si>
  <si>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</si>
  <si>
    <t>أعمال شبكة الصرف الصحي :- 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</si>
  <si>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كالبند السابق , أنابيب UPVC قطر 75 مم - درجة 4</t>
  </si>
  <si>
    <t>كالبند السابق , أنابيب UPVC قطر 50 مم - درجة 4</t>
  </si>
  <si>
    <t>كالبند السابق , أنابيب UPVC قطر 25 مم - درجة 4</t>
  </si>
  <si>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</si>
  <si>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</si>
  <si>
    <t>بالعدد توريد وتركيب وتشغيل واختبار طبات تسليك أرضية قطر 75مم ذات غطاء من الأستانلس ستييل طبقا للمواصفات والمخططات وأعتماد المهندس المشرف</t>
  </si>
  <si>
    <t>كالبند السابق طبة تسليك قطر 110مم</t>
  </si>
  <si>
    <t>أعمال شبكة المياة الباردة والحارة :- 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</si>
  <si>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كالبند السابق , مواسير PP قطر 20 مم</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</si>
  <si>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لتر2066</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</si>
  <si>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</si>
  <si>
    <t>بالعدد توريد وتركيب محابس من أجود الأنواع عند مداخل المياه لكل حمام أو مطبخ وذلك بقطر 25ملم</t>
  </si>
  <si>
    <t>مانع للمطرقة المائية WHA</t>
  </si>
  <si>
    <t>أعمال مكافحة الحريق : 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</si>
  <si>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 xml:space="preserve">بند اضافي </t>
  </si>
  <si>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</si>
  <si>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غير موجودة بالتصميم</t>
  </si>
  <si>
    <t xml:space="preserve">مضخة تعزيزية 0.5 حصان وليس 100 حصان لانه مش منطق الرقم واكيد خطأ مطبعي </t>
  </si>
  <si>
    <t xml:space="preserve">بند اضافي / مواسير pp قطر 32 ملم </t>
  </si>
  <si>
    <t xml:space="preserve">بند اضافي / كالسابق  ولكن محبس قطر 32 ملم  </t>
  </si>
  <si>
    <t>مبنى مستودعات الأعلاف</t>
  </si>
  <si>
    <t>بالعدد توريد وتركيب وتشغيل تجريبي وأختبار مروحه شفط هواء بتدفق ( 3300 لتر/ث) من النوع السطحى Roof top كاملة والسعر يشمل كافة الملحقات اللازمه ومايلزم لإنهاء العمل إنهاءا تاماً وبشكل ممتاز حسب المواصفات والمخططات وأعتماد المهندس المشرف</t>
  </si>
  <si>
    <t>بالتصميم موجودة جانبية وليس TOP ROOF</t>
  </si>
  <si>
    <t>توريد وتركيب فتحات مصيدة الرمال للتزويد بالهواء النقي من النوع الذي يركب بالأبواب المعدنيه بأبعاد قدرها 3000 مم عرض و1000 مم طول والسعر يشمل التوريد والتركيب وكل ما يلزم لإنهاء العمل إنهاءا تاماً وبشكل ممتاز حسب المواصفات والمخططات وأعتماد المهندس المشرف</t>
  </si>
  <si>
    <t xml:space="preserve">بند اضافي بديل </t>
  </si>
  <si>
    <t>بند اضافي بديل / توريد وتركيب فتحات مصيدة الرمال للتزويد بالهواء النقي من النوع الذي يركب بالأبواب المعدنيه بأبعاد قدرها 2000 مم عرض و1000 مم طول والسعر يشمل التوريد والتركيب وكل ما يلزم لإنهاء العمل إنهاءا تاماً وبشكل ممتاز حسب المواصفات والمخططات وأعتماد المهندس المشرف</t>
  </si>
  <si>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</si>
  <si>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</si>
  <si>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</si>
  <si>
    <t>بالمتر الطولي توريد وتركيب وتشغيل تجريبي واختبار مواسير لزوم تغذية صناديق الحريق والرشاشات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 مواسير بقطر ( 50 مم ) 2 بوصة</t>
  </si>
  <si>
    <t>كالبند السابق مواسير بقطر ( 150 مم ) 6 بوصة</t>
  </si>
  <si>
    <t>بند اضافي / كالبند السابق مواسير بقطر ( 100 مم ) 4 بوصة</t>
  </si>
  <si>
    <t xml:space="preserve">بنود اضافية موجودة بالتصميم فقط </t>
  </si>
  <si>
    <t>بالعدد توريد وتركيب وتشغيل تجريبي وأختبار صمام Wet Alarm Check Valve والسعر يشمل variable pressure trim retarding chamber, mechanical alarm gong, pressure switch complete including tamper switch وكل مايلزم لإنهاء العمل إنهاءا تاماً حسب المخططات والمواصفات وأعتماد المهندس المشرف وأصول الصناعة والتركيب مما جميعه wet alarm check valve قطر 100 مم (4 بوصة)</t>
  </si>
  <si>
    <t>بالعدد توريد وتركيب وتشغيل تجريبي وأختبار صمام التحكم فى منطقة (Zone Control Valve) والسعر يشمل كامل المجموعة os&amp;y gate valve with tamper switch, check valve,water flow switch,test and drain valve,pressure gauge وكل مايلزم لإنهاء العمل إنهاءا تاماً حسب المخططات والمواصفات UL/FMواعتماد المهندس المشرف قطر 150 مم</t>
  </si>
  <si>
    <t>بالعدد توريد و تركيب واختبار رشاش من النوع(UL/FM) ESFR للمخازن كما موضح بالرسومات و المواصفات</t>
  </si>
  <si>
    <t>بالعدد توريد و تركيب وصلة دفاع مدنى (وصلة سياميزية) تكون ماركة حاصلة على UL&amp;FM ومن النوع (Wet piller ) تحتوى على 4 بوصه صمام عدم رجوع و صمام بوابة مع وجود مخرجين 25 بوصة شاملة جميع الاكسسوارات والوصلات تحت الارض وكذلك غرفة المحابس من الخرسانة وغطاء الغرفة طبقا للرسومات و المواصفات الموضحة</t>
  </si>
  <si>
    <t>توريد و تركيب طبليات مرتفعة الأرض ورفوف معدنية يوضع عليها الطبليات لعملية التخزين والسعر يشمل كافة الملحقات اللازمه ومايلزم لإنهاء العمل إنهاءا تاماً وبشكل ممتاز حسب المواصفات والمخططات وأعتماد المهندس المشرف</t>
  </si>
  <si>
    <t xml:space="preserve">غير موجود بالميكانيك </t>
  </si>
  <si>
    <t>مبنى غرفة الكهرباء</t>
  </si>
  <si>
    <t>أعمال التكييف والتهوية: بالعدد توريد وتركيب وتشغيل تجريبي وأختبار مروحه شفط هواء بتدفق من النوع الجداري كاملة والسعر يشمل كافة الملحقات اللازمه ومايلزم لإنهاء العمل إنهاءا تاماً وبشكل ممتاز حسب المواصفات والمخططات وأعتماد المهندس المشرف كالتالي - مروحة شفط بتدفق 400 لتر/ث</t>
  </si>
  <si>
    <t>كالبند السابق , مروحة شفط بتدفق 1700 لتر/ث</t>
  </si>
  <si>
    <t>توريد وتركيب فتحات مصيدة الرمال للتزويد بالهواء النقي من النوع الذي يركب بالأبواب المعدنيه بأبعاد قدرها 800 مم عرض و300 مم طول والسعر يشمل التوريد والتركيب وكل ما يلزم لإنهاء العمل إنهاءا تاماً وبشكل ممتاز حسب المواصفات والمخططات وأعتماد المهندس المشرف</t>
  </si>
  <si>
    <t>توريد وتركيب جرجورى صفيات مياه أمطار(ROOF DRAIN) بالسطح بغطاء من النحاس المطلي بالكروم 75مم وتمديدات المواسيرمن نوع UPVC نوع (4) طبقاً لأصول الصناعة والمواصفات الفنية والمخططات وتعليمات المهندس المشرف</t>
  </si>
  <si>
    <t>بالمتر الطولي توريد وتركيب شبكة مواسير قطر 75 مم من مادة ( upvc class4 ) لزوم نظام الصرف الصحي وكذلك مواسير صرف مياه الأمطار كاملة مع جميع المستلزمات والعلاقات والتركيب شاملة التجارب والغسيل وجميع الأعمال المدنية اللازمة وكل مايلزم لإنهاء العمل على الوجه الأكمل وطبقا للمواصفات الفنية {طبقاً للقسم 15410} والمخططات</t>
  </si>
  <si>
    <t>بالعدد توريد وتركيب وتشغيل تجريبي وأختبار طفايات حريق من نوع ثانى أكسيد الكربون الجاف سعة 6 كجم, متعددة الأغراض من النوع المختبر بواسطة UL/FM والسعر يشمل صندوق غاطس فى الحائط لوضع الطفاية بداخله كما فى المخططات والمواصفات وأعتماد المهندس المشرف</t>
  </si>
  <si>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50 كجم عند ضغط 42 بار</t>
  </si>
  <si>
    <t>كالبند السابق غرفه المولد - اسطوانة سعة 54 كجم عند ضغط 42 بار</t>
  </si>
  <si>
    <t>كالبند السابق غرفه المحول - اسطوانة سعة 40 كجم عند ضغط 42 بار</t>
  </si>
  <si>
    <t>كالبند السابق غرفه جهد منخفض - اسطوانة سعة 40 كجم عند ضغط 42 بار</t>
  </si>
  <si>
    <t>بالعدد توريد وتركيب وتشغيل تجريبي وأختبار مروحه شفط هواء بتدفق ( 500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</si>
  <si>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بالعدد توريد وتركيب وتشغيل وأختبار صفيات مياه أمطار (جرجوري)قطر 75 مم , والسعر يشمل كافة الملحقات والمواسير وما يلزم لإنهاء الأعمال إنهاءا تاماً طبقا للمواصفات و المخططات وأعتماد المهندس المشرف</t>
  </si>
  <si>
    <t>بالمتر الطولى توريد وتركيب ترنش من الحديد الزهر على شكل نصف دائرة قطر 15 سم , لزوم صرف صرف مياه تبريد الردياتير لمضخة الديزيل ووصلة الإختبار من أجود الأنواع كامل بالغطاء والسعر يشمل العزل والتثبيت وكل ما يلزم لإنهاءا العمل إنهاءا تاماً على أكمل وجهه طبقا للمواصفات الفنية والمخططات وأصول الصناعة وأعتماد المهندس المشرف</t>
  </si>
  <si>
    <t>بالعدد توريد وتركيب وتشغيل تجريبي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</si>
  <si>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بالعدد توريد وتركيب وتشغيل تجريبي وأختبار طفايات حريق من نوع ثانى أكسيد الكربون الجاف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</si>
  <si>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 xml:space="preserve">مواسير تصريف مياه المطر محمله على البند </t>
  </si>
  <si>
    <t xml:space="preserve">مواسير تصريف مياه الامطار محملة على البند </t>
  </si>
  <si>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75 كجم عند ضغط 42 بار</t>
  </si>
  <si>
    <t>كالسابق ولكن اسطوانة سعة 65 كجم</t>
  </si>
  <si>
    <t xml:space="preserve">موجود بالتصميم </t>
  </si>
  <si>
    <t>مبنى سكن العاملين</t>
  </si>
  <si>
    <t>كالبند السابق وحدة تكييف منفصل جدارى بقدرة 24,000 وحدة حرارية بريطانية</t>
  </si>
  <si>
    <t>كالبند السابق وحدة تكييف منفصل جدارى بقدرة 30,000 وحدة حرارية بريطانية</t>
  </si>
  <si>
    <t>كالبند السابق مروحه شفط هواء بتدفق ( 300 لتر/ث)</t>
  </si>
  <si>
    <t>بالعدد توريد وتركيب وتشغيل تجريبي وأختبار مغاسل من النوع المختبر بواسطة UL-FM تركب على قائم الخزف باللون الابيض والسعر يشمل الخلاطات والهرابات من النيكل ومحابس الزاوية وخطوط الصرف والتغذية من مواسير بلاستيك معزولة ومدفونة والمحابس والتوصيلات وجميع الاكسسوارات من ارفف صينى ومرأة وكل مايلزم لإنهاء العمل إنهاءا تاماً طبقا للمخططات والمواصفات الفنية وأصول الصناعة وأعتماد المهندس المشرف</t>
  </si>
  <si>
    <t>بالعدد توريد وتركييب وتشغيل تجريبي وأختبار كرسى مرحاض افرنجى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لإنهاء العمل إنهاءا تاماً طبقا للمخططات والموصفات وأصول الصناعة واعتماد المهندس المشرف</t>
  </si>
  <si>
    <t>بالعدد توريد وتركييب وتشغيل وأختبار مرحاض شرقى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لنهو العمل نهواً تاماً طبقا للمخططات والموصفات وأصول الصناعة واعتماد المهندس المشرف</t>
  </si>
  <si>
    <t>توريد وتركيب وتجربة مغسلة اوانى للمطبخ بلوحتين لتصفية وحوض من استانلس استيل مقاس (50*150 سم)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</si>
  <si>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توريد وتركيب وتجربة مغسلة للملابس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</si>
  <si>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توريد وتركيب وتجربة حوض شاور للحمام كما هو موضح بالمخططات والمواصفات والصمامات الزاوية والوصلات المرنة وكافة الاكسسوارت شاملا خطوط الصرف والتغذية من مواسير بلاستيك معزولة ومدفونة اللازمة للتركيب الجيد ومن أجود الانواع طبقا للمخططات والموصفات وأصول الصناعة واعتماد المهندس المشرف</t>
  </si>
  <si>
    <t>توريد وتركيب مجفف أيدي من أجود الأنواع والسعر يشمل جميع ما يلزم لإنهاء العمل نهوا تاما طبقا للمخططات والموصفات وأصول الصناعة واعتماد المهندس المشرف</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</si>
  <si>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للمخططات والموصفات وأصول الصناعة واعتماد المهندس المشرف</t>
  </si>
  <si>
    <t>بالعدد توريد وتركيب وتشغيل تجريبي وأختبار صفاية ارضية من البلاستيك المقوى بمخرج قطر 50مم بسيفون وغطاء من ( استانلس استيل ) وعمل كل مايلزم لانهاء العمل طبقا لاصول الصناعة والمواصفات الفنية والمخططات وأعتماد المهندس المشرف</t>
  </si>
  <si>
    <t>كالبند السابق صفاية أرضية بمخرج قطر 75مم</t>
  </si>
  <si>
    <t>بالعدد توريد وتركيب وتشغيل تجريبي واختبار طبات تسليك أرضية قطر 75مم ذات غطاء من الأستانلس ستييل طبقا للمواصفات والمخططات وأعتماد المهندس المشرف</t>
  </si>
  <si>
    <t>كالبند السابق , أنابيب UPVC قطر 40 مم - درجة 4</t>
  </si>
  <si>
    <t>كالبند السابق , أنابيب UPVC قطر 32 مم - درجة 4</t>
  </si>
  <si>
    <t>كالبند السابق , مواسير PP قطر 50 مم</t>
  </si>
  <si>
    <t>كالبند السابق , مواسير PP قطر 32 مم</t>
  </si>
  <si>
    <t>كالبند السابق , مواسير PP قطر 25 مم</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</si>
  <si>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"30" لتر</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</si>
  <si>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"80" لتر</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</si>
  <si>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2000 لتر</t>
  </si>
  <si>
    <t>بالعدد توريد وتركيب محابس من أجود الأنواع عند مداخل المياه لكل حمام أو مطبخ وذلك بقطر 50ملم</t>
  </si>
  <si>
    <t>كالبند السابق محبس قطر 25 ملم</t>
  </si>
  <si>
    <t>بالمتر الطولي توريد وتركيب وتشغيل تجريبي واختبار مواسير قطر 80 مم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t>
  </si>
  <si>
    <t>كالبند السابق , مواسير قطر 65 مم</t>
  </si>
  <si>
    <t>توريد و تركيب و اختبار مواسير بلاستيك ( HDPE) بقطر اسمى 100 مم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</si>
  <si>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بالعدد توريد وتركيب وتشغيل تجريبي وأختبار طفايات حريق من النوع المخصص بالمطابخ بسعة 6 كجم ,ومن النوع المختبر بواسطة UL/FM والسعر يشمل التثبيت بالثلث العلوي وبكامل عرض الباب طبقاً للمواصفات الفنية كما فى المخططات والمواصفات وأعتماد المهندس المشرف</t>
  </si>
  <si>
    <t>ملاحظة موجود بالتصميم / كالبند السابق مروحه شفط هواء بتدفق ( 200 لتر/ث)</t>
  </si>
  <si>
    <t xml:space="preserve">لم توجد بالتصميم </t>
  </si>
  <si>
    <t xml:space="preserve">البند شامل مواسير المطر </t>
  </si>
  <si>
    <t xml:space="preserve">مياه </t>
  </si>
  <si>
    <t>كالبند السابق , مواسير PP قطر 40 مم</t>
  </si>
  <si>
    <t xml:space="preserve">المضخة التعزيزية 0.5 حصان وليس 100 حصان </t>
  </si>
  <si>
    <t>كالبند السابق محبس قطر 20 ملم</t>
  </si>
  <si>
    <t>كالبند السابق محبس قطر 32 ملم</t>
  </si>
  <si>
    <t>مبنى العيادة</t>
  </si>
  <si>
    <t>كالبند السابق مروحه شفط هواء بتدفق ( 150 لتر/ث)</t>
  </si>
  <si>
    <t xml:space="preserve"> ملاحظة / بالتصميم مروحة شفط  هواء بتدفق ( 200 لتر / ث) </t>
  </si>
  <si>
    <t>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</si>
  <si>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</si>
  <si>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t>
  </si>
  <si>
    <t xml:space="preserve">كالسابق ولكن سخان مياه كهربائي سعة 30 لتر </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</si>
  <si>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</si>
  <si>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 xml:space="preserve">طفاية 9 لتر بودرة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</si>
</sst>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000_);_(* \(#,##0.000\);_(* &quot;-&quot;??_);_(@_)"/>
  </numFmts>
  <fonts count="41">
    <font>
      <sz val="11"/>
      <color indexed="8"/>
      <name val="Calibri"/>
      <family val="2"/>
      <charset val="178"/>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color indexed="8"/>
      <name val="Arial"/>
      <family val="2"/>
    </font>
    <font>
      <b/>
      <sz val="11"/>
      <color indexed="8"/>
      <name val="Arial"/>
      <family val="2"/>
    </font>
    <font>
      <b/>
      <sz val="12"/>
      <color indexed="8"/>
      <name val="Times New Roman"/>
      <family val="1"/>
    </font>
    <font>
      <b/>
      <sz val="12"/>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sz val="11"/>
      <color indexed="8"/>
      <name val="Calibri"/>
      <family val="2"/>
      <scheme val="minor"/>
    </font>
    <font>
      <b/>
      <sz val="11"/>
      <color theme="1"/>
      <name val="Calibri"/>
      <family val="2"/>
      <charset val="204"/>
    </font>
    <font>
      <b/>
      <sz val="10"/>
      <color rgb="FFFF0000"/>
      <name val="Calibri"/>
      <family val="2"/>
      <charset val="204"/>
    </font>
    <font>
      <b/>
      <sz val="10"/>
      <color indexed="8"/>
      <name val="Calibri"/>
      <family val="2"/>
    </font>
    <font>
      <b/>
      <sz val="11"/>
      <color rgb="FFFF0000"/>
      <name val="Calibri"/>
      <family val="2"/>
      <scheme val="minor"/>
    </font>
    <font>
      <b/>
      <sz val="10"/>
      <color rgb="FFFF0000"/>
      <name val="Calibri"/>
      <family val="2"/>
    </font>
    <font>
      <b/>
      <sz val="10"/>
      <name val="Calibri"/>
      <family val="2"/>
      <charset val="204"/>
    </font>
    <font>
      <sz val="10"/>
      <color rgb="FFFF0000"/>
      <name val="Calibri"/>
      <family val="2"/>
    </font>
    <font>
      <b/>
      <sz val="11"/>
      <name val="Calibri"/>
      <family val="2"/>
      <scheme val="minor"/>
    </font>
    <font>
      <b/>
      <sz val="11"/>
      <name val="Arial"/>
      <family val="2"/>
    </font>
    <font>
      <b/>
      <sz val="11"/>
      <color rgb="FFFF0000"/>
      <name val="Calibri"/>
      <family val="2"/>
      <charset val="204"/>
    </font>
    <font>
      <b/>
      <sz val="10"/>
      <name val="Arial"/>
      <family val="2"/>
    </font>
    <font>
      <b/>
      <sz val="11"/>
      <color indexed="8"/>
      <name val="Calibri"/>
      <family val="2"/>
      <charset val="178"/>
    </font>
    <font>
      <b/>
      <sz val="10"/>
      <name val="Calibri"/>
      <family val="2"/>
    </font>
    <font>
      <sz val="11"/>
      <name val="Calibri"/>
      <family val="2"/>
      <scheme val="minor"/>
    </font>
    <font>
      <sz val="10"/>
      <name val="Calibri"/>
      <family val="2"/>
    </font>
    <font>
      <b/>
      <sz val="11"/>
      <color rgb="FFFF0000"/>
      <name val="Calibri"/>
      <family val="2"/>
    </font>
    <font>
      <b/>
      <sz val="11"/>
      <name val="Calibri"/>
      <family val="2"/>
    </font>
  </fonts>
  <fills count="2">
    <fill>
      <patternFill patternType="none"/>
    </fill>
    <fill>
      <patternFill patternType="gray125"/>
    </fill>
  </fills>
  <borders count="30">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hair">
        <color indexed="64"/>
      </top>
      <bottom/>
      <diagonal/>
    </border>
  </borders>
  <cellStyleXfs count="20">
    <xf numFmtId="0" fontId="0" fillId="0" borderId="0"/>
    <xf numFmtId="43" fontId="3" fillId="0" borderId="0" applyFont="0" applyFill="0" applyBorder="0" applyAlignment="0" applyProtection="0"/>
    <xf numFmtId="0" fontId="16" fillId="0" borderId="0"/>
    <xf numFmtId="0" fontId="17" fillId="0" borderId="0"/>
    <xf numFmtId="0" fontId="17" fillId="0" borderId="0"/>
    <xf numFmtId="0" fontId="16" fillId="0" borderId="0"/>
    <xf numFmtId="0" fontId="19" fillId="0" borderId="0"/>
    <xf numFmtId="0" fontId="16" fillId="0" borderId="0"/>
    <xf numFmtId="0" fontId="20" fillId="0" borderId="0"/>
    <xf numFmtId="0" fontId="16" fillId="0" borderId="0"/>
    <xf numFmtId="0" fontId="20" fillId="0" borderId="0"/>
    <xf numFmtId="9" fontId="16" fillId="0" borderId="0" applyFont="0" applyFill="0" applyBorder="0" applyAlignment="0" applyProtection="0"/>
    <xf numFmtId="43" fontId="16" fillId="0" borderId="0" applyFont="0" applyFill="0" applyBorder="0" applyAlignment="0" applyProtection="0"/>
    <xf numFmtId="9" fontId="2" fillId="0" borderId="0" applyFont="0" applyFill="0" applyBorder="0" applyAlignment="0" applyProtection="0"/>
    <xf numFmtId="0" fontId="18" fillId="0" borderId="0"/>
    <xf numFmtId="43" fontId="17" fillId="0" borderId="0" applyFont="0" applyFill="0" applyBorder="0" applyAlignment="0" applyProtection="0"/>
    <xf numFmtId="0" fontId="16" fillId="0" borderId="0"/>
    <xf numFmtId="164" fontId="16" fillId="0" borderId="0" applyFont="0" applyFill="0" applyBorder="0" applyAlignment="0" applyProtection="0"/>
    <xf numFmtId="0" fontId="21" fillId="0" borderId="0"/>
    <xf numFmtId="0" fontId="1" fillId="0" borderId="0"/>
  </cellStyleXfs>
  <cellXfs count="137">
    <xf numFmtId="0" fontId="0" fillId="0" borderId="0" xfId="0"/>
    <xf numFmtId="0" fontId="5" fillId="0" borderId="0" xfId="0" applyFont="1"/>
    <xf numFmtId="43" fontId="4" fillId="0" borderId="0" xfId="1" applyFont="1" applyBorder="1"/>
    <xf numFmtId="0" fontId="6" fillId="0" borderId="0" xfId="0" applyFont="1" applyAlignment="1">
      <alignment vertical="center"/>
    </xf>
    <xf numFmtId="0" fontId="11" fillId="0" borderId="5" xfId="0" applyFont="1" applyBorder="1" applyAlignment="1">
      <alignment horizontal="center" vertical="center"/>
    </xf>
    <xf numFmtId="0" fontId="11" fillId="0" borderId="11" xfId="0" applyFont="1" applyBorder="1" applyAlignment="1">
      <alignment horizontal="center" vertical="center"/>
    </xf>
    <xf numFmtId="43" fontId="12" fillId="0" borderId="11" xfId="1" applyFont="1" applyFill="1" applyBorder="1" applyAlignment="1">
      <alignment horizontal="center" vertical="center"/>
    </xf>
    <xf numFmtId="0" fontId="12" fillId="0" borderId="12" xfId="0" applyFont="1" applyBorder="1" applyAlignment="1">
      <alignment vertical="center"/>
    </xf>
    <xf numFmtId="0" fontId="13" fillId="0" borderId="0" xfId="0" applyFont="1" applyAlignment="1">
      <alignment horizontal="center"/>
    </xf>
    <xf numFmtId="0" fontId="14" fillId="0" borderId="0" xfId="0" applyFont="1"/>
    <xf numFmtId="0" fontId="15" fillId="0" borderId="0" xfId="0" applyFont="1"/>
    <xf numFmtId="0" fontId="13" fillId="0" borderId="0" xfId="0" applyFont="1"/>
    <xf numFmtId="43" fontId="0" fillId="0" borderId="0" xfId="1" applyFont="1"/>
    <xf numFmtId="43" fontId="8" fillId="0" borderId="3" xfId="1" applyFont="1" applyBorder="1" applyAlignment="1">
      <alignment horizontal="center" vertical="center"/>
    </xf>
    <xf numFmtId="0" fontId="22" fillId="0" borderId="20" xfId="0" applyFont="1" applyBorder="1" applyAlignment="1">
      <alignment vertical="center"/>
    </xf>
    <xf numFmtId="0" fontId="22" fillId="0" borderId="12" xfId="0" applyFont="1" applyBorder="1" applyAlignment="1">
      <alignment vertical="center"/>
    </xf>
    <xf numFmtId="43" fontId="9" fillId="0" borderId="6" xfId="1" applyFont="1" applyBorder="1" applyAlignment="1">
      <alignment horizontal="center" vertical="center"/>
    </xf>
    <xf numFmtId="43" fontId="23" fillId="0" borderId="6" xfId="1" applyFont="1" applyBorder="1" applyAlignment="1">
      <alignment horizontal="center" vertical="center"/>
    </xf>
    <xf numFmtId="2" fontId="7" fillId="0" borderId="7" xfId="1" applyNumberFormat="1" applyFont="1" applyFill="1" applyBorder="1" applyAlignment="1">
      <alignment horizontal="center" vertical="center"/>
    </xf>
    <xf numFmtId="2" fontId="7" fillId="0" borderId="6" xfId="1" applyNumberFormat="1" applyFont="1" applyFill="1" applyBorder="1" applyAlignment="1">
      <alignment horizontal="center" vertical="center"/>
    </xf>
    <xf numFmtId="2" fontId="7" fillId="0" borderId="8" xfId="1" applyNumberFormat="1" applyFont="1" applyFill="1" applyBorder="1" applyAlignment="1">
      <alignment vertical="center"/>
    </xf>
    <xf numFmtId="2" fontId="6" fillId="0" borderId="9" xfId="0" applyNumberFormat="1" applyFont="1" applyBorder="1" applyAlignment="1">
      <alignment vertical="center"/>
    </xf>
    <xf numFmtId="0" fontId="22" fillId="0" borderId="19" xfId="0" applyFont="1" applyBorder="1" applyAlignment="1">
      <alignment horizontal="right" vertical="center"/>
    </xf>
    <xf numFmtId="0" fontId="22" fillId="0" borderId="11" xfId="0" applyFont="1" applyBorder="1" applyAlignment="1">
      <alignment horizontal="center" vertical="center"/>
    </xf>
    <xf numFmtId="43" fontId="9" fillId="0" borderId="6" xfId="1" applyFont="1" applyBorder="1" applyAlignment="1">
      <alignment horizontal="center" vertical="center" wrapText="1"/>
    </xf>
    <xf numFmtId="0" fontId="25" fillId="0" borderId="6" xfId="0" applyFont="1" applyBorder="1" applyAlignment="1">
      <alignment horizontal="center" vertical="center" wrapText="1"/>
    </xf>
    <xf numFmtId="43" fontId="27" fillId="0" borderId="6" xfId="1" applyFont="1" applyBorder="1" applyAlignment="1">
      <alignment horizontal="center" vertical="center" wrapText="1"/>
    </xf>
    <xf numFmtId="0" fontId="24" fillId="0" borderId="7" xfId="0" applyFont="1" applyBorder="1" applyAlignment="1">
      <alignment horizontal="right" vertical="center" wrapText="1"/>
    </xf>
    <xf numFmtId="0" fontId="10" fillId="0" borderId="6" xfId="0" applyFont="1" applyBorder="1" applyAlignment="1">
      <alignment horizontal="right" vertical="center" wrapText="1"/>
    </xf>
    <xf numFmtId="0" fontId="25" fillId="0" borderId="6" xfId="0" applyFont="1" applyBorder="1" applyAlignment="1">
      <alignment horizontal="right" vertical="center" wrapText="1"/>
    </xf>
    <xf numFmtId="2" fontId="28" fillId="0" borderId="9" xfId="0" applyNumberFormat="1" applyFont="1" applyBorder="1" applyAlignment="1">
      <alignment vertical="center" wrapText="1"/>
    </xf>
    <xf numFmtId="0" fontId="29" fillId="0" borderId="6" xfId="0" applyFont="1" applyBorder="1" applyAlignment="1">
      <alignment horizontal="right" vertical="center" wrapText="1"/>
    </xf>
    <xf numFmtId="0" fontId="26" fillId="0" borderId="7" xfId="0" applyFont="1" applyBorder="1" applyAlignment="1">
      <alignment horizontal="center" vertical="center"/>
    </xf>
    <xf numFmtId="2" fontId="28" fillId="0" borderId="9" xfId="0" applyNumberFormat="1" applyFont="1" applyBorder="1" applyAlignment="1">
      <alignment vertical="center"/>
    </xf>
    <xf numFmtId="43" fontId="8" fillId="0" borderId="3" xfId="1" applyFont="1" applyBorder="1" applyAlignment="1">
      <alignment horizontal="center" vertical="center"/>
    </xf>
    <xf numFmtId="0" fontId="22" fillId="0" borderId="19" xfId="0" applyFont="1" applyBorder="1" applyAlignment="1">
      <alignment horizontal="right" vertical="center"/>
    </xf>
    <xf numFmtId="2" fontId="28" fillId="0" borderId="17" xfId="0" applyNumberFormat="1" applyFont="1" applyBorder="1" applyAlignment="1">
      <alignment vertical="center"/>
    </xf>
    <xf numFmtId="43" fontId="9" fillId="0" borderId="7" xfId="1" applyFont="1" applyBorder="1" applyAlignment="1">
      <alignment horizontal="center" vertical="center"/>
    </xf>
    <xf numFmtId="43" fontId="9" fillId="0" borderId="8" xfId="1" applyFont="1" applyBorder="1" applyAlignment="1">
      <alignment horizontal="center" vertical="center"/>
    </xf>
    <xf numFmtId="0" fontId="25" fillId="0" borderId="5" xfId="0" applyFont="1" applyBorder="1" applyAlignment="1">
      <alignment horizontal="center" vertical="center" wrapText="1"/>
    </xf>
    <xf numFmtId="0" fontId="28" fillId="0" borderId="7" xfId="0" applyFont="1" applyBorder="1" applyAlignment="1">
      <alignment horizontal="center" vertical="center"/>
    </xf>
    <xf numFmtId="0" fontId="28" fillId="0" borderId="5" xfId="0" applyFont="1" applyBorder="1" applyAlignment="1">
      <alignment horizontal="center" vertical="center" wrapText="1"/>
    </xf>
    <xf numFmtId="0" fontId="28" fillId="0" borderId="6" xfId="0" applyFont="1" applyBorder="1" applyAlignment="1">
      <alignment horizontal="right" vertical="center" wrapText="1"/>
    </xf>
    <xf numFmtId="2" fontId="30" fillId="0" borderId="9" xfId="0" applyNumberFormat="1" applyFont="1" applyBorder="1" applyAlignment="1">
      <alignment vertical="center"/>
    </xf>
    <xf numFmtId="0" fontId="28" fillId="0" borderId="13" xfId="0" applyFont="1" applyBorder="1" applyAlignment="1">
      <alignment horizontal="center" vertical="center"/>
    </xf>
    <xf numFmtId="43" fontId="27" fillId="0" borderId="13" xfId="1" applyFont="1" applyBorder="1" applyAlignment="1">
      <alignment horizontal="center" vertical="center" wrapText="1"/>
    </xf>
    <xf numFmtId="2" fontId="31" fillId="0" borderId="6" xfId="1" applyNumberFormat="1" applyFont="1" applyBorder="1" applyAlignment="1">
      <alignment horizontal="right" vertical="center" wrapText="1"/>
    </xf>
    <xf numFmtId="43" fontId="9" fillId="0" borderId="6" xfId="1" applyFont="1" applyBorder="1" applyAlignment="1">
      <alignment horizontal="right" vertical="center" wrapText="1"/>
    </xf>
    <xf numFmtId="2" fontId="27" fillId="0" borderId="6" xfId="1" applyNumberFormat="1" applyFont="1" applyBorder="1" applyAlignment="1">
      <alignment horizontal="right" vertical="center" wrapText="1"/>
    </xf>
    <xf numFmtId="43" fontId="8" fillId="0" borderId="3" xfId="1" applyFont="1" applyBorder="1" applyAlignment="1">
      <alignment horizontal="center" vertical="center"/>
    </xf>
    <xf numFmtId="0" fontId="22" fillId="0" borderId="19" xfId="0" applyFont="1" applyBorder="1" applyAlignment="1">
      <alignment horizontal="right" vertical="center"/>
    </xf>
    <xf numFmtId="165" fontId="32" fillId="0" borderId="28" xfId="1" applyNumberFormat="1" applyFont="1" applyFill="1" applyBorder="1" applyAlignment="1">
      <alignment horizontal="center" vertical="center"/>
    </xf>
    <xf numFmtId="2" fontId="26" fillId="0" borderId="29" xfId="1" applyNumberFormat="1" applyFont="1" applyFill="1" applyBorder="1" applyAlignment="1">
      <alignment horizontal="center" vertical="center"/>
    </xf>
    <xf numFmtId="2" fontId="6" fillId="0" borderId="29" xfId="1" applyNumberFormat="1" applyFont="1" applyFill="1" applyBorder="1" applyAlignment="1">
      <alignment vertical="center"/>
    </xf>
    <xf numFmtId="0" fontId="11" fillId="0" borderId="5" xfId="0" applyFont="1" applyBorder="1" applyAlignment="1">
      <alignment horizontal="center" vertical="center" wrapText="1"/>
    </xf>
    <xf numFmtId="0" fontId="33" fillId="0" borderId="7" xfId="0" applyFont="1" applyBorder="1" applyAlignment="1">
      <alignment horizontal="right" vertical="center" wrapText="1"/>
    </xf>
    <xf numFmtId="0" fontId="34" fillId="0" borderId="10" xfId="0" applyFont="1" applyBorder="1" applyAlignment="1">
      <alignment horizontal="center" vertical="center"/>
    </xf>
    <xf numFmtId="0" fontId="34" fillId="0" borderId="11" xfId="0" applyFont="1" applyBorder="1" applyAlignment="1">
      <alignment horizontal="left" vertical="center"/>
    </xf>
    <xf numFmtId="43" fontId="12" fillId="0" borderId="11" xfId="1" applyFont="1" applyFill="1" applyBorder="1" applyAlignment="1">
      <alignment horizontal="left" vertical="center"/>
    </xf>
    <xf numFmtId="165" fontId="34" fillId="0" borderId="11" xfId="1" applyNumberFormat="1" applyFont="1" applyFill="1" applyBorder="1" applyAlignment="1">
      <alignment horizontal="center" vertical="center"/>
    </xf>
    <xf numFmtId="0" fontId="13" fillId="0" borderId="1" xfId="0" applyFont="1" applyBorder="1" applyAlignment="1">
      <alignment horizontal="center"/>
    </xf>
    <xf numFmtId="0" fontId="10" fillId="0" borderId="1" xfId="0" applyFont="1" applyBorder="1" applyAlignment="1">
      <alignment horizontal="right" vertical="center"/>
    </xf>
    <xf numFmtId="0" fontId="14" fillId="0" borderId="1" xfId="0" applyFont="1" applyBorder="1"/>
    <xf numFmtId="0" fontId="15" fillId="0" borderId="1" xfId="0" applyFont="1" applyBorder="1"/>
    <xf numFmtId="43" fontId="4" fillId="0" borderId="1" xfId="1" applyFont="1" applyBorder="1"/>
    <xf numFmtId="0" fontId="35" fillId="0" borderId="1" xfId="0" applyFont="1" applyBorder="1"/>
    <xf numFmtId="43" fontId="8" fillId="0" borderId="13" xfId="1" applyFont="1" applyBorder="1" applyAlignment="1">
      <alignment horizontal="center" vertical="center"/>
    </xf>
    <xf numFmtId="43" fontId="8" fillId="0" borderId="3" xfId="1" applyFont="1" applyBorder="1" applyAlignment="1">
      <alignment horizontal="center" vertical="center"/>
    </xf>
    <xf numFmtId="0" fontId="8" fillId="0" borderId="17" xfId="0" applyFont="1" applyBorder="1" applyAlignment="1">
      <alignment horizontal="center" vertical="center"/>
    </xf>
    <xf numFmtId="0" fontId="8" fillId="0" borderId="4" xfId="0" applyFont="1" applyBorder="1" applyAlignment="1">
      <alignment horizontal="center" vertical="center"/>
    </xf>
    <xf numFmtId="0" fontId="22" fillId="0" borderId="10" xfId="0" applyFont="1" applyBorder="1" applyAlignment="1">
      <alignment vertical="center"/>
    </xf>
    <xf numFmtId="0" fontId="22" fillId="0" borderId="11" xfId="0" applyFont="1" applyBorder="1" applyAlignment="1">
      <alignment vertical="center"/>
    </xf>
    <xf numFmtId="0" fontId="22" fillId="0" borderId="11" xfId="0" applyFont="1" applyBorder="1" applyAlignment="1">
      <alignment horizontal="right" vertical="center"/>
    </xf>
    <xf numFmtId="0" fontId="22" fillId="0" borderId="11" xfId="0" applyFont="1" applyBorder="1" applyAlignment="1">
      <alignment horizontal="right" vertical="center" wrapText="1"/>
    </xf>
    <xf numFmtId="0" fontId="8" fillId="0" borderId="14" xfId="0" applyFont="1" applyBorder="1" applyAlignment="1">
      <alignment horizontal="center" vertical="center"/>
    </xf>
    <xf numFmtId="0" fontId="8" fillId="0" borderId="2" xfId="0" applyFont="1" applyBorder="1" applyAlignment="1">
      <alignment horizontal="center" vertical="center"/>
    </xf>
    <xf numFmtId="0" fontId="8" fillId="0" borderId="13" xfId="0" applyFont="1" applyBorder="1" applyAlignment="1">
      <alignment horizontal="center" vertical="center"/>
    </xf>
    <xf numFmtId="0" fontId="8" fillId="0" borderId="3" xfId="0" applyFont="1" applyBorder="1" applyAlignment="1">
      <alignment horizontal="center" vertical="center"/>
    </xf>
    <xf numFmtId="43" fontId="8" fillId="0" borderId="15" xfId="1" applyFont="1" applyBorder="1" applyAlignment="1">
      <alignment horizontal="center" vertical="center"/>
    </xf>
    <xf numFmtId="43" fontId="8" fillId="0" borderId="16" xfId="1" applyFont="1" applyBorder="1" applyAlignment="1">
      <alignment horizontal="center" vertic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4" fillId="0" borderId="25" xfId="0" applyFont="1" applyBorder="1" applyAlignment="1">
      <alignment horizontal="center"/>
    </xf>
    <xf numFmtId="0" fontId="4" fillId="0" borderId="27"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26" xfId="0" applyFont="1" applyBorder="1" applyAlignment="1">
      <alignment horizontal="center"/>
    </xf>
    <xf numFmtId="43" fontId="4" fillId="0" borderId="21" xfId="1" applyFont="1" applyBorder="1" applyAlignment="1">
      <alignment horizontal="center"/>
    </xf>
    <xf numFmtId="43" fontId="4" fillId="0" borderId="22" xfId="1" applyFont="1" applyBorder="1" applyAlignment="1">
      <alignment horizontal="center"/>
    </xf>
    <xf numFmtId="43" fontId="4" fillId="0" borderId="23" xfId="1" applyFont="1" applyBorder="1" applyAlignment="1">
      <alignment horizontal="center"/>
    </xf>
    <xf numFmtId="43" fontId="4" fillId="0" borderId="24" xfId="1" applyFont="1" applyBorder="1" applyAlignment="1">
      <alignment horizontal="center"/>
    </xf>
    <xf numFmtId="43" fontId="4" fillId="0" borderId="25" xfId="1" applyFont="1" applyBorder="1" applyAlignment="1">
      <alignment horizontal="center"/>
    </xf>
    <xf numFmtId="43" fontId="4" fillId="0" borderId="27" xfId="1" applyFont="1" applyBorder="1" applyAlignment="1">
      <alignment horizontal="center"/>
    </xf>
    <xf numFmtId="43" fontId="4" fillId="0" borderId="1" xfId="1" applyFont="1" applyBorder="1" applyAlignment="1">
      <alignment horizontal="center"/>
    </xf>
    <xf numFmtId="43" fontId="4" fillId="0" borderId="0" xfId="1" applyFont="1" applyBorder="1" applyAlignment="1">
      <alignment horizontal="center"/>
    </xf>
    <xf numFmtId="43" fontId="4" fillId="0" borderId="26" xfId="1" applyFont="1" applyBorder="1" applyAlignment="1">
      <alignment horizontal="center"/>
    </xf>
    <xf numFmtId="0" fontId="22" fillId="0" borderId="18" xfId="0" applyFont="1" applyBorder="1" applyAlignment="1">
      <alignment horizontal="right" vertical="center" wrapText="1"/>
    </xf>
    <xf numFmtId="0" fontId="22" fillId="0" borderId="19" xfId="0" applyFont="1" applyBorder="1" applyAlignment="1">
      <alignment horizontal="right" vertical="center"/>
    </xf>
    <xf numFmtId="0" fontId="36" fillId="0" borderId="5" xfId="0" applyFont="1" applyBorder="1" applyAlignment="1">
      <alignment horizontal="center" vertical="center" wrapText="1"/>
    </xf>
    <xf numFmtId="0" fontId="36" fillId="0" borderId="6" xfId="0" applyFont="1" applyBorder="1" applyAlignment="1">
      <alignment horizontal="right" vertical="center" wrapText="1"/>
    </xf>
    <xf numFmtId="0" fontId="36" fillId="0" borderId="7" xfId="0" applyFont="1" applyBorder="1" applyAlignment="1">
      <alignment horizontal="center" vertical="center"/>
    </xf>
    <xf numFmtId="43" fontId="31" fillId="0" borderId="7" xfId="1" applyFont="1" applyBorder="1" applyAlignment="1">
      <alignment horizontal="center" vertical="center"/>
    </xf>
    <xf numFmtId="43" fontId="37" fillId="0" borderId="6" xfId="1" applyFont="1" applyBorder="1" applyAlignment="1">
      <alignment horizontal="center" vertical="center"/>
    </xf>
    <xf numFmtId="43" fontId="31" fillId="0" borderId="8" xfId="1" applyFont="1" applyBorder="1" applyAlignment="1">
      <alignment horizontal="center" vertical="center"/>
    </xf>
    <xf numFmtId="43" fontId="31" fillId="0" borderId="6" xfId="1" applyFont="1" applyBorder="1" applyAlignment="1">
      <alignment horizontal="center" vertical="center" wrapText="1"/>
    </xf>
    <xf numFmtId="0" fontId="36" fillId="0" borderId="6" xfId="0" applyFont="1" applyBorder="1" applyAlignment="1">
      <alignment horizontal="center" vertical="center" wrapText="1"/>
    </xf>
    <xf numFmtId="2" fontId="31" fillId="0" borderId="6" xfId="1" applyNumberFormat="1" applyFont="1" applyBorder="1" applyAlignment="1">
      <alignment horizontal="center" vertical="center" wrapText="1"/>
    </xf>
    <xf numFmtId="2" fontId="9" fillId="0" borderId="6" xfId="1" applyNumberFormat="1" applyFont="1" applyBorder="1" applyAlignment="1">
      <alignment horizontal="center" vertical="center" wrapText="1"/>
    </xf>
    <xf numFmtId="2" fontId="9" fillId="0" borderId="6" xfId="1" applyNumberFormat="1" applyFont="1" applyBorder="1" applyAlignment="1">
      <alignment horizontal="right" vertical="center" wrapText="1"/>
    </xf>
    <xf numFmtId="0" fontId="10" fillId="0" borderId="6" xfId="0" applyFont="1" applyBorder="1" applyAlignment="1">
      <alignment horizontal="right" wrapText="1"/>
    </xf>
    <xf numFmtId="2" fontId="36" fillId="0" borderId="9" xfId="0" applyNumberFormat="1" applyFont="1" applyBorder="1" applyAlignment="1">
      <alignment vertical="center"/>
    </xf>
    <xf numFmtId="0" fontId="11" fillId="0" borderId="0" xfId="0" applyFont="1" applyBorder="1" applyAlignment="1">
      <alignment horizontal="center" vertical="center"/>
    </xf>
    <xf numFmtId="0" fontId="29" fillId="0" borderId="0" xfId="0" applyFont="1" applyBorder="1" applyAlignment="1">
      <alignment horizontal="right" vertical="center" wrapText="1"/>
    </xf>
    <xf numFmtId="0" fontId="26" fillId="0" borderId="0" xfId="0" applyFont="1" applyBorder="1" applyAlignment="1">
      <alignment horizontal="center" vertical="center"/>
    </xf>
    <xf numFmtId="43" fontId="9" fillId="0" borderId="0" xfId="1" applyFont="1" applyBorder="1" applyAlignment="1">
      <alignment horizontal="center" vertical="center" wrapText="1"/>
    </xf>
    <xf numFmtId="2" fontId="31" fillId="0" borderId="0" xfId="1" applyNumberFormat="1" applyFont="1" applyBorder="1" applyAlignment="1">
      <alignment horizontal="right" vertical="center" wrapText="1"/>
    </xf>
    <xf numFmtId="2" fontId="28" fillId="0" borderId="0" xfId="0" applyNumberFormat="1" applyFont="1" applyBorder="1" applyAlignment="1">
      <alignment vertical="center"/>
    </xf>
    <xf numFmtId="43" fontId="31" fillId="0" borderId="6" xfId="1" applyFont="1" applyBorder="1" applyAlignment="1">
      <alignment horizontal="right" vertical="center" wrapText="1"/>
    </xf>
    <xf numFmtId="43" fontId="27" fillId="0" borderId="6" xfId="1" applyFont="1" applyBorder="1" applyAlignment="1">
      <alignment horizontal="right" vertical="center" wrapText="1"/>
    </xf>
    <xf numFmtId="2" fontId="26" fillId="0" borderId="9" xfId="0" applyNumberFormat="1" applyFont="1" applyBorder="1" applyAlignment="1">
      <alignment vertical="center"/>
    </xf>
    <xf numFmtId="0" fontId="39" fillId="0" borderId="7" xfId="0" applyFont="1" applyBorder="1" applyAlignment="1">
      <alignment horizontal="right" vertical="center" wrapText="1"/>
    </xf>
    <xf numFmtId="2" fontId="30" fillId="0" borderId="7" xfId="1" applyNumberFormat="1" applyFont="1" applyFill="1" applyBorder="1" applyAlignment="1">
      <alignment horizontal="center" vertical="center"/>
    </xf>
    <xf numFmtId="2" fontId="30" fillId="0" borderId="6" xfId="1" applyNumberFormat="1" applyFont="1" applyFill="1" applyBorder="1" applyAlignment="1">
      <alignment horizontal="center" vertical="center"/>
    </xf>
    <xf numFmtId="2" fontId="30" fillId="0" borderId="8" xfId="1" applyNumberFormat="1" applyFont="1" applyFill="1" applyBorder="1" applyAlignment="1">
      <alignment vertical="center"/>
    </xf>
    <xf numFmtId="0" fontId="40" fillId="0" borderId="7" xfId="0" applyFont="1" applyBorder="1" applyAlignment="1">
      <alignment horizontal="right" vertical="center" wrapText="1"/>
    </xf>
    <xf numFmtId="2" fontId="38" fillId="0" borderId="7" xfId="1" applyNumberFormat="1" applyFont="1" applyFill="1" applyBorder="1" applyAlignment="1">
      <alignment horizontal="center" vertical="center"/>
    </xf>
    <xf numFmtId="2" fontId="38" fillId="0" borderId="6" xfId="1" applyNumberFormat="1" applyFont="1" applyFill="1" applyBorder="1" applyAlignment="1">
      <alignment horizontal="center" vertical="center"/>
    </xf>
    <xf numFmtId="2" fontId="38" fillId="0" borderId="8" xfId="1" applyNumberFormat="1" applyFont="1" applyFill="1" applyBorder="1" applyAlignment="1">
      <alignment vertical="center"/>
    </xf>
    <xf numFmtId="0" fontId="28" fillId="0" borderId="7" xfId="0" applyFont="1" applyBorder="1" applyAlignment="1">
      <alignment horizontal="center" vertical="center" wrapText="1"/>
    </xf>
    <xf numFmtId="2" fontId="30" fillId="0" borderId="9" xfId="0" applyNumberFormat="1" applyFont="1" applyBorder="1" applyAlignment="1">
      <alignment vertical="center" wrapText="1"/>
    </xf>
    <xf numFmtId="2" fontId="9" fillId="0" borderId="6" xfId="1" applyNumberFormat="1" applyFont="1" applyBorder="1" applyAlignment="1">
      <alignment vertical="center" wrapText="1"/>
    </xf>
    <xf numFmtId="43" fontId="9" fillId="0" borderId="0" xfId="1" applyFont="1" applyBorder="1" applyAlignment="1">
      <alignment horizontal="right" vertical="center" wrapText="1"/>
    </xf>
    <xf numFmtId="2" fontId="6" fillId="0" borderId="0" xfId="0" applyNumberFormat="1" applyFont="1" applyBorder="1" applyAlignment="1">
      <alignment vertical="center"/>
    </xf>
    <xf numFmtId="0" fontId="0" fillId="0" borderId="0" xfId="0" applyBorder="1"/>
    <xf numFmtId="43" fontId="0" fillId="0" borderId="0" xfId="1" applyFont="1" applyBorder="1"/>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81646</xdr:colOff>
      <xdr:row>0</xdr:row>
      <xdr:rowOff>69206</xdr:rowOff>
    </xdr:from>
    <xdr:to>
      <xdr:col>9</xdr:col>
      <xdr:colOff>1295404</xdr:colOff>
      <xdr:row>4</xdr:row>
      <xdr:rowOff>255940</xdr:rowOff>
    </xdr:to>
    <xdr:pic>
      <xdr:nvPicPr>
        <xdr:cNvPr id="5" name="صورة 2">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114300</xdr:colOff>
          <xdr:row>0</xdr:row>
          <xdr:rowOff>28575</xdr:rowOff>
        </xdr:from>
        <xdr:to>
          <xdr:col>7</xdr:col>
          <xdr:colOff>257175</xdr:colOff>
          <xdr:row>4</xdr:row>
          <xdr:rowOff>133350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16565</xdr:colOff>
      <xdr:row>1</xdr:row>
      <xdr:rowOff>98771</xdr:rowOff>
    </xdr:from>
    <xdr:to>
      <xdr:col>6</xdr:col>
      <xdr:colOff>149086</xdr:colOff>
      <xdr:row>5</xdr:row>
      <xdr:rowOff>95249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2"/>
        <a:srcRect l="4443" r="2690" b="12637"/>
        <a:stretch/>
      </xdr:blipFill>
      <xdr:spPr>
        <a:xfrm>
          <a:off x="2161761" y="239575"/>
          <a:ext cx="2170043" cy="849587"/>
        </a:xfrm>
        <a:prstGeom prst="rect">
          <a:avLst/>
        </a:prstGeom>
      </xdr:spPr>
    </xdr:pic>
    <xdr:clientData/>
  </xdr:twoCellAnchor>
  <xdr:twoCellAnchor editAs="oneCell">
    <xdr:from>
      <xdr:col>0</xdr:col>
      <xdr:colOff>87087</xdr:colOff>
      <xdr:row>0</xdr:row>
      <xdr:rowOff>48988</xdr:rowOff>
    </xdr:from>
    <xdr:to>
      <xdr:col>1</xdr:col>
      <xdr:colOff>1725387</xdr:colOff>
      <xdr:row>4</xdr:row>
      <xdr:rowOff>242909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3</xdr:col>
      <xdr:colOff>148827</xdr:colOff>
      <xdr:row>1</xdr:row>
      <xdr:rowOff>65484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5</xdr:col>
      <xdr:colOff>610790</xdr:colOff>
      <xdr:row>5</xdr:row>
      <xdr:rowOff>77389</xdr:rowOff>
    </xdr:from>
    <xdr:to>
      <xdr:col>8</xdr:col>
      <xdr:colOff>105104</xdr:colOff>
      <xdr:row>7</xdr:row>
      <xdr:rowOff>41670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81646</xdr:colOff>
      <xdr:row>0</xdr:row>
      <xdr:rowOff>69206</xdr:rowOff>
    </xdr:from>
    <xdr:to>
      <xdr:col>9</xdr:col>
      <xdr:colOff>1295404</xdr:colOff>
      <xdr:row>4</xdr:row>
      <xdr:rowOff>255940</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339446" y="69206"/>
          <a:ext cx="1985283" cy="88205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114300</xdr:colOff>
          <xdr:row>0</xdr:row>
          <xdr:rowOff>28575</xdr:rowOff>
        </xdr:from>
        <xdr:to>
          <xdr:col>7</xdr:col>
          <xdr:colOff>257175</xdr:colOff>
          <xdr:row>4</xdr:row>
          <xdr:rowOff>133350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16565</xdr:colOff>
      <xdr:row>1</xdr:row>
      <xdr:rowOff>98771</xdr:rowOff>
    </xdr:from>
    <xdr:to>
      <xdr:col>6</xdr:col>
      <xdr:colOff>149086</xdr:colOff>
      <xdr:row>5</xdr:row>
      <xdr:rowOff>95249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rotWithShape="1">
        <a:blip xmlns:r="http://schemas.openxmlformats.org/officeDocument/2006/relationships" r:embed="rId2"/>
        <a:srcRect l="4443" r="2690" b="12637"/>
        <a:stretch/>
      </xdr:blipFill>
      <xdr:spPr>
        <a:xfrm>
          <a:off x="2169215" y="241646"/>
          <a:ext cx="2170871" cy="853728"/>
        </a:xfrm>
        <a:prstGeom prst="rect">
          <a:avLst/>
        </a:prstGeom>
      </xdr:spPr>
    </xdr:pic>
    <xdr:clientData/>
  </xdr:twoCellAnchor>
  <xdr:twoCellAnchor editAs="oneCell">
    <xdr:from>
      <xdr:col>0</xdr:col>
      <xdr:colOff>87087</xdr:colOff>
      <xdr:row>0</xdr:row>
      <xdr:rowOff>48988</xdr:rowOff>
    </xdr:from>
    <xdr:to>
      <xdr:col>1</xdr:col>
      <xdr:colOff>1725387</xdr:colOff>
      <xdr:row>4</xdr:row>
      <xdr:rowOff>242909</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89246"/>
        </a:xfrm>
        <a:prstGeom prst="rect">
          <a:avLst/>
        </a:prstGeom>
      </xdr:spPr>
    </xdr:pic>
    <xdr:clientData/>
  </xdr:twoCellAnchor>
  <xdr:twoCellAnchor>
    <xdr:from>
      <xdr:col>1</xdr:col>
      <xdr:colOff>1744265</xdr:colOff>
      <xdr:row>0</xdr:row>
      <xdr:rowOff>0</xdr:rowOff>
    </xdr:from>
    <xdr:to>
      <xdr:col>3</xdr:col>
      <xdr:colOff>148827</xdr:colOff>
      <xdr:row>1</xdr:row>
      <xdr:rowOff>65484</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058590" y="0"/>
          <a:ext cx="1023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5</xdr:col>
      <xdr:colOff>610790</xdr:colOff>
      <xdr:row>5</xdr:row>
      <xdr:rowOff>77389</xdr:rowOff>
    </xdr:from>
    <xdr:to>
      <xdr:col>8</xdr:col>
      <xdr:colOff>105104</xdr:colOff>
      <xdr:row>7</xdr:row>
      <xdr:rowOff>41670</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4192190" y="1077514"/>
          <a:ext cx="1170714" cy="6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81646</xdr:colOff>
      <xdr:row>0</xdr:row>
      <xdr:rowOff>69206</xdr:rowOff>
    </xdr:from>
    <xdr:to>
      <xdr:col>9</xdr:col>
      <xdr:colOff>1295404</xdr:colOff>
      <xdr:row>4</xdr:row>
      <xdr:rowOff>255940</xdr:rowOff>
    </xdr:to>
    <xdr:pic>
      <xdr:nvPicPr>
        <xdr:cNvPr id="2" name="صورة 2">
          <a:extLst>
            <a:ext uri="{FF2B5EF4-FFF2-40B4-BE49-F238E27FC236}">
              <a16:creationId xmlns:a16="http://schemas.microsoft.com/office/drawing/2014/main" id="{F95D37C8-E4EE-4FFB-A8ED-51FBA5DAA2D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339446" y="69206"/>
          <a:ext cx="1985283" cy="88205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114300</xdr:colOff>
          <xdr:row>0</xdr:row>
          <xdr:rowOff>28575</xdr:rowOff>
        </xdr:from>
        <xdr:to>
          <xdr:col>7</xdr:col>
          <xdr:colOff>257175</xdr:colOff>
          <xdr:row>4</xdr:row>
          <xdr:rowOff>133350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B030466-B493-4AF3-B018-3A878929180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16565</xdr:colOff>
      <xdr:row>1</xdr:row>
      <xdr:rowOff>98771</xdr:rowOff>
    </xdr:from>
    <xdr:to>
      <xdr:col>6</xdr:col>
      <xdr:colOff>149086</xdr:colOff>
      <xdr:row>5</xdr:row>
      <xdr:rowOff>95249</xdr:rowOff>
    </xdr:to>
    <xdr:pic>
      <xdr:nvPicPr>
        <xdr:cNvPr id="4" name="Picture 3">
          <a:extLst>
            <a:ext uri="{FF2B5EF4-FFF2-40B4-BE49-F238E27FC236}">
              <a16:creationId xmlns:a16="http://schemas.microsoft.com/office/drawing/2014/main" id="{178F8D19-622D-45DB-B1AE-4B13E5533775}"/>
            </a:ext>
          </a:extLst>
        </xdr:cNvPr>
        <xdr:cNvPicPr>
          <a:picLocks noChangeAspect="1"/>
        </xdr:cNvPicPr>
      </xdr:nvPicPr>
      <xdr:blipFill rotWithShape="1">
        <a:blip xmlns:r="http://schemas.openxmlformats.org/officeDocument/2006/relationships" r:embed="rId2"/>
        <a:srcRect l="4443" r="2690" b="12637"/>
        <a:stretch/>
      </xdr:blipFill>
      <xdr:spPr>
        <a:xfrm>
          <a:off x="2169215" y="241646"/>
          <a:ext cx="2170871" cy="853728"/>
        </a:xfrm>
        <a:prstGeom prst="rect">
          <a:avLst/>
        </a:prstGeom>
      </xdr:spPr>
    </xdr:pic>
    <xdr:clientData/>
  </xdr:twoCellAnchor>
  <xdr:twoCellAnchor editAs="oneCell">
    <xdr:from>
      <xdr:col>0</xdr:col>
      <xdr:colOff>87087</xdr:colOff>
      <xdr:row>0</xdr:row>
      <xdr:rowOff>48988</xdr:rowOff>
    </xdr:from>
    <xdr:to>
      <xdr:col>1</xdr:col>
      <xdr:colOff>1725387</xdr:colOff>
      <xdr:row>4</xdr:row>
      <xdr:rowOff>242909</xdr:rowOff>
    </xdr:to>
    <xdr:pic>
      <xdr:nvPicPr>
        <xdr:cNvPr id="5" name="Picture 4">
          <a:extLst>
            <a:ext uri="{FF2B5EF4-FFF2-40B4-BE49-F238E27FC236}">
              <a16:creationId xmlns:a16="http://schemas.microsoft.com/office/drawing/2014/main" id="{228FB3A5-51C7-486B-9AEB-3C94458835B9}"/>
            </a:ext>
          </a:extLst>
        </xdr:cNvPr>
        <xdr:cNvPicPr>
          <a:picLocks noChangeAspect="1"/>
        </xdr:cNvPicPr>
      </xdr:nvPicPr>
      <xdr:blipFill>
        <a:blip xmlns:r="http://schemas.openxmlformats.org/officeDocument/2006/relationships" r:embed="rId3"/>
        <a:stretch>
          <a:fillRect/>
        </a:stretch>
      </xdr:blipFill>
      <xdr:spPr>
        <a:xfrm>
          <a:off x="87087" y="48988"/>
          <a:ext cx="1952625" cy="889246"/>
        </a:xfrm>
        <a:prstGeom prst="rect">
          <a:avLst/>
        </a:prstGeom>
      </xdr:spPr>
    </xdr:pic>
    <xdr:clientData/>
  </xdr:twoCellAnchor>
  <xdr:twoCellAnchor>
    <xdr:from>
      <xdr:col>1</xdr:col>
      <xdr:colOff>1744265</xdr:colOff>
      <xdr:row>0</xdr:row>
      <xdr:rowOff>0</xdr:rowOff>
    </xdr:from>
    <xdr:to>
      <xdr:col>3</xdr:col>
      <xdr:colOff>148827</xdr:colOff>
      <xdr:row>1</xdr:row>
      <xdr:rowOff>65484</xdr:rowOff>
    </xdr:to>
    <xdr:sp macro="" textlink="">
      <xdr:nvSpPr>
        <xdr:cNvPr id="6" name="TextBox 5">
          <a:extLst>
            <a:ext uri="{FF2B5EF4-FFF2-40B4-BE49-F238E27FC236}">
              <a16:creationId xmlns:a16="http://schemas.microsoft.com/office/drawing/2014/main" id="{585F872F-8317-4603-81C2-2F24A2E92C6C}"/>
            </a:ext>
          </a:extLst>
        </xdr:cNvPr>
        <xdr:cNvSpPr txBox="1"/>
      </xdr:nvSpPr>
      <xdr:spPr>
        <a:xfrm>
          <a:off x="2058590" y="0"/>
          <a:ext cx="1023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5</xdr:col>
      <xdr:colOff>610790</xdr:colOff>
      <xdr:row>5</xdr:row>
      <xdr:rowOff>77389</xdr:rowOff>
    </xdr:from>
    <xdr:to>
      <xdr:col>8</xdr:col>
      <xdr:colOff>105104</xdr:colOff>
      <xdr:row>7</xdr:row>
      <xdr:rowOff>41670</xdr:rowOff>
    </xdr:to>
    <xdr:sp macro="" textlink="">
      <xdr:nvSpPr>
        <xdr:cNvPr id="7" name="TextBox 6">
          <a:extLst>
            <a:ext uri="{FF2B5EF4-FFF2-40B4-BE49-F238E27FC236}">
              <a16:creationId xmlns:a16="http://schemas.microsoft.com/office/drawing/2014/main" id="{40128A7C-8E91-4C59-8623-925728E3A20B}"/>
            </a:ext>
          </a:extLst>
        </xdr:cNvPr>
        <xdr:cNvSpPr txBox="1"/>
      </xdr:nvSpPr>
      <xdr:spPr>
        <a:xfrm>
          <a:off x="4192190" y="1077514"/>
          <a:ext cx="1170714" cy="6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81646</xdr:colOff>
      <xdr:row>0</xdr:row>
      <xdr:rowOff>69206</xdr:rowOff>
    </xdr:from>
    <xdr:to>
      <xdr:col>9</xdr:col>
      <xdr:colOff>1295404</xdr:colOff>
      <xdr:row>4</xdr:row>
      <xdr:rowOff>255940</xdr:rowOff>
    </xdr:to>
    <xdr:pic>
      <xdr:nvPicPr>
        <xdr:cNvPr id="2" name="صورة 2">
          <a:extLst>
            <a:ext uri="{FF2B5EF4-FFF2-40B4-BE49-F238E27FC236}">
              <a16:creationId xmlns:a16="http://schemas.microsoft.com/office/drawing/2014/main" id="{8052FCA1-999E-429D-AF00-D78AF606F6F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10896" y="69206"/>
          <a:ext cx="1985283" cy="88205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114300</xdr:colOff>
          <xdr:row>0</xdr:row>
          <xdr:rowOff>28575</xdr:rowOff>
        </xdr:from>
        <xdr:to>
          <xdr:col>7</xdr:col>
          <xdr:colOff>257175</xdr:colOff>
          <xdr:row>4</xdr:row>
          <xdr:rowOff>133350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E8179EAD-6CEB-4D65-86B4-C92A288CA72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16565</xdr:colOff>
      <xdr:row>1</xdr:row>
      <xdr:rowOff>98771</xdr:rowOff>
    </xdr:from>
    <xdr:to>
      <xdr:col>5</xdr:col>
      <xdr:colOff>554934</xdr:colOff>
      <xdr:row>5</xdr:row>
      <xdr:rowOff>95249</xdr:rowOff>
    </xdr:to>
    <xdr:pic>
      <xdr:nvPicPr>
        <xdr:cNvPr id="4" name="Picture 3">
          <a:extLst>
            <a:ext uri="{FF2B5EF4-FFF2-40B4-BE49-F238E27FC236}">
              <a16:creationId xmlns:a16="http://schemas.microsoft.com/office/drawing/2014/main" id="{1F1BFD13-887A-42AD-88AF-DFEF368CCB9C}"/>
            </a:ext>
          </a:extLst>
        </xdr:cNvPr>
        <xdr:cNvPicPr>
          <a:picLocks noChangeAspect="1"/>
        </xdr:cNvPicPr>
      </xdr:nvPicPr>
      <xdr:blipFill rotWithShape="1">
        <a:blip xmlns:r="http://schemas.openxmlformats.org/officeDocument/2006/relationships" r:embed="rId2"/>
        <a:srcRect l="4443" r="2690" b="12637"/>
        <a:stretch/>
      </xdr:blipFill>
      <xdr:spPr>
        <a:xfrm>
          <a:off x="2159690" y="241646"/>
          <a:ext cx="2176669" cy="853728"/>
        </a:xfrm>
        <a:prstGeom prst="rect">
          <a:avLst/>
        </a:prstGeom>
      </xdr:spPr>
    </xdr:pic>
    <xdr:clientData/>
  </xdr:twoCellAnchor>
  <xdr:twoCellAnchor editAs="oneCell">
    <xdr:from>
      <xdr:col>0</xdr:col>
      <xdr:colOff>87087</xdr:colOff>
      <xdr:row>0</xdr:row>
      <xdr:rowOff>48988</xdr:rowOff>
    </xdr:from>
    <xdr:to>
      <xdr:col>1</xdr:col>
      <xdr:colOff>1725387</xdr:colOff>
      <xdr:row>4</xdr:row>
      <xdr:rowOff>242909</xdr:rowOff>
    </xdr:to>
    <xdr:pic>
      <xdr:nvPicPr>
        <xdr:cNvPr id="5" name="Picture 4">
          <a:extLst>
            <a:ext uri="{FF2B5EF4-FFF2-40B4-BE49-F238E27FC236}">
              <a16:creationId xmlns:a16="http://schemas.microsoft.com/office/drawing/2014/main" id="{AF256DEE-3E49-464F-BFA2-1730F68F5645}"/>
            </a:ext>
          </a:extLst>
        </xdr:cNvPr>
        <xdr:cNvPicPr>
          <a:picLocks noChangeAspect="1"/>
        </xdr:cNvPicPr>
      </xdr:nvPicPr>
      <xdr:blipFill>
        <a:blip xmlns:r="http://schemas.openxmlformats.org/officeDocument/2006/relationships" r:embed="rId3"/>
        <a:stretch>
          <a:fillRect/>
        </a:stretch>
      </xdr:blipFill>
      <xdr:spPr>
        <a:xfrm>
          <a:off x="87087" y="48988"/>
          <a:ext cx="1952625" cy="889246"/>
        </a:xfrm>
        <a:prstGeom prst="rect">
          <a:avLst/>
        </a:prstGeom>
      </xdr:spPr>
    </xdr:pic>
    <xdr:clientData/>
  </xdr:twoCellAnchor>
  <xdr:twoCellAnchor>
    <xdr:from>
      <xdr:col>1</xdr:col>
      <xdr:colOff>1744265</xdr:colOff>
      <xdr:row>0</xdr:row>
      <xdr:rowOff>0</xdr:rowOff>
    </xdr:from>
    <xdr:to>
      <xdr:col>3</xdr:col>
      <xdr:colOff>148827</xdr:colOff>
      <xdr:row>1</xdr:row>
      <xdr:rowOff>65484</xdr:rowOff>
    </xdr:to>
    <xdr:sp macro="" textlink="">
      <xdr:nvSpPr>
        <xdr:cNvPr id="6" name="TextBox 5">
          <a:extLst>
            <a:ext uri="{FF2B5EF4-FFF2-40B4-BE49-F238E27FC236}">
              <a16:creationId xmlns:a16="http://schemas.microsoft.com/office/drawing/2014/main" id="{951D48D5-170A-455F-A86D-535F1FC4BBC6}"/>
            </a:ext>
          </a:extLst>
        </xdr:cNvPr>
        <xdr:cNvSpPr txBox="1"/>
      </xdr:nvSpPr>
      <xdr:spPr>
        <a:xfrm>
          <a:off x="2058590" y="0"/>
          <a:ext cx="10144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5</xdr:col>
      <xdr:colOff>610790</xdr:colOff>
      <xdr:row>5</xdr:row>
      <xdr:rowOff>77389</xdr:rowOff>
    </xdr:from>
    <xdr:to>
      <xdr:col>8</xdr:col>
      <xdr:colOff>105104</xdr:colOff>
      <xdr:row>7</xdr:row>
      <xdr:rowOff>41670</xdr:rowOff>
    </xdr:to>
    <xdr:sp macro="" textlink="">
      <xdr:nvSpPr>
        <xdr:cNvPr id="7" name="TextBox 6">
          <a:extLst>
            <a:ext uri="{FF2B5EF4-FFF2-40B4-BE49-F238E27FC236}">
              <a16:creationId xmlns:a16="http://schemas.microsoft.com/office/drawing/2014/main" id="{CFDDFF52-F281-4944-B7F1-FE91066A5E40}"/>
            </a:ext>
          </a:extLst>
        </xdr:cNvPr>
        <xdr:cNvSpPr txBox="1"/>
      </xdr:nvSpPr>
      <xdr:spPr>
        <a:xfrm>
          <a:off x="4363640" y="1077514"/>
          <a:ext cx="1170714" cy="6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81646</xdr:colOff>
      <xdr:row>0</xdr:row>
      <xdr:rowOff>69206</xdr:rowOff>
    </xdr:from>
    <xdr:to>
      <xdr:col>9</xdr:col>
      <xdr:colOff>1295404</xdr:colOff>
      <xdr:row>4</xdr:row>
      <xdr:rowOff>255940</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10896" y="69206"/>
          <a:ext cx="1985283" cy="88205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114300</xdr:colOff>
          <xdr:row>0</xdr:row>
          <xdr:rowOff>28575</xdr:rowOff>
        </xdr:from>
        <xdr:to>
          <xdr:col>7</xdr:col>
          <xdr:colOff>257175</xdr:colOff>
          <xdr:row>4</xdr:row>
          <xdr:rowOff>133350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16565</xdr:colOff>
      <xdr:row>1</xdr:row>
      <xdr:rowOff>98771</xdr:rowOff>
    </xdr:from>
    <xdr:to>
      <xdr:col>5</xdr:col>
      <xdr:colOff>554934</xdr:colOff>
      <xdr:row>5</xdr:row>
      <xdr:rowOff>95249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a:srcRect l="4443" r="2690" b="12637"/>
        <a:stretch/>
      </xdr:blipFill>
      <xdr:spPr>
        <a:xfrm>
          <a:off x="2159690" y="241646"/>
          <a:ext cx="2176669" cy="853728"/>
        </a:xfrm>
        <a:prstGeom prst="rect">
          <a:avLst/>
        </a:prstGeom>
      </xdr:spPr>
    </xdr:pic>
    <xdr:clientData/>
  </xdr:twoCellAnchor>
  <xdr:twoCellAnchor editAs="oneCell">
    <xdr:from>
      <xdr:col>0</xdr:col>
      <xdr:colOff>87087</xdr:colOff>
      <xdr:row>0</xdr:row>
      <xdr:rowOff>48988</xdr:rowOff>
    </xdr:from>
    <xdr:to>
      <xdr:col>1</xdr:col>
      <xdr:colOff>1725387</xdr:colOff>
      <xdr:row>4</xdr:row>
      <xdr:rowOff>242909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89246"/>
        </a:xfrm>
        <a:prstGeom prst="rect">
          <a:avLst/>
        </a:prstGeom>
      </xdr:spPr>
    </xdr:pic>
    <xdr:clientData/>
  </xdr:twoCellAnchor>
  <xdr:twoCellAnchor>
    <xdr:from>
      <xdr:col>1</xdr:col>
      <xdr:colOff>1744265</xdr:colOff>
      <xdr:row>0</xdr:row>
      <xdr:rowOff>0</xdr:rowOff>
    </xdr:from>
    <xdr:to>
      <xdr:col>3</xdr:col>
      <xdr:colOff>148827</xdr:colOff>
      <xdr:row>1</xdr:row>
      <xdr:rowOff>65484</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058590" y="0"/>
          <a:ext cx="10144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5</xdr:col>
      <xdr:colOff>610790</xdr:colOff>
      <xdr:row>5</xdr:row>
      <xdr:rowOff>77389</xdr:rowOff>
    </xdr:from>
    <xdr:to>
      <xdr:col>8</xdr:col>
      <xdr:colOff>105104</xdr:colOff>
      <xdr:row>7</xdr:row>
      <xdr:rowOff>41670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363640" y="1077514"/>
          <a:ext cx="1170714" cy="6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J35"/>
  <sheetViews>
    <sheetView tabSelected="1" view="pageBreakPreview" topLeftCell="A25" zoomScale="115" zoomScaleSheetLayoutView="115" workbookViewId="0">
      <selection activeCell="L12" sqref="L12"/>
    </sheetView>
  </sheetViews>
  <sheetFormatPr defaultRowHeight="15"/>
  <cols>
    <col min="1" max="1" width="4.7109375" customWidth="1"/>
    <col min="2" max="2" width="27.5703125" customWidth="1"/>
    <col min="3" max="3" width="11.7109375" customWidth="1"/>
    <col min="4" max="4" width="6.140625" style="12" customWidth="1"/>
    <col min="5" max="5" width="6.42578125" style="12" customWidth="1"/>
    <col min="6" max="6" width="6.28515625" style="12" customWidth="1"/>
    <col min="7" max="7" width="8.28515625" style="12" customWidth="1"/>
    <col min="8" max="8" width="7.7109375" style="12" customWidth="1"/>
    <col min="9" max="9" width="11.5703125" style="12" customWidth="1"/>
    <col min="10" max="10" width="20.42578125" customWidth="1"/>
  </cols>
  <sheetData>
    <row r="1" spans="1:10" s="1" customFormat="1" ht="11.25" customHeight="1" thickTop="1">
      <c r="A1" s="80"/>
      <c r="B1" s="81"/>
      <c r="C1" s="80"/>
      <c r="D1" s="86"/>
      <c r="E1" s="86"/>
      <c r="F1" s="81"/>
      <c r="G1" s="89"/>
      <c r="H1" s="90"/>
      <c r="I1" s="95"/>
      <c r="J1" s="90"/>
    </row>
    <row r="2" spans="1:10" s="1" customFormat="1" ht="11.25" customHeight="1">
      <c r="A2" s="82"/>
      <c r="B2" s="83"/>
      <c r="C2" s="82"/>
      <c r="D2" s="87"/>
      <c r="E2" s="87"/>
      <c r="F2" s="83"/>
      <c r="G2" s="91"/>
      <c r="H2" s="92"/>
      <c r="I2" s="96"/>
      <c r="J2" s="92"/>
    </row>
    <row r="3" spans="1:10" s="1" customFormat="1" ht="11.25" customHeight="1">
      <c r="A3" s="82"/>
      <c r="B3" s="83"/>
      <c r="C3" s="82"/>
      <c r="D3" s="87"/>
      <c r="E3" s="87"/>
      <c r="F3" s="83"/>
      <c r="G3" s="91"/>
      <c r="H3" s="92"/>
      <c r="I3" s="96"/>
      <c r="J3" s="92"/>
    </row>
    <row r="4" spans="1:10" s="3" customFormat="1" ht="21" customHeight="1">
      <c r="A4" s="82"/>
      <c r="B4" s="83"/>
      <c r="C4" s="82"/>
      <c r="D4" s="87"/>
      <c r="E4" s="87"/>
      <c r="F4" s="83"/>
      <c r="G4" s="91"/>
      <c r="H4" s="92"/>
      <c r="I4" s="96"/>
      <c r="J4" s="92"/>
    </row>
    <row r="5" spans="1:10" s="3" customFormat="1" ht="24" customHeight="1">
      <c r="A5" s="82"/>
      <c r="B5" s="83"/>
      <c r="C5" s="82"/>
      <c r="D5" s="87"/>
      <c r="E5" s="87"/>
      <c r="F5" s="83"/>
      <c r="G5" s="91"/>
      <c r="H5" s="92"/>
      <c r="I5" s="96"/>
      <c r="J5" s="92"/>
    </row>
    <row r="6" spans="1:10" s="3" customFormat="1" ht="28.5" customHeight="1">
      <c r="A6" s="82"/>
      <c r="B6" s="83"/>
      <c r="C6" s="82"/>
      <c r="D6" s="87"/>
      <c r="E6" s="87"/>
      <c r="F6" s="83"/>
      <c r="G6" s="91"/>
      <c r="H6" s="92"/>
      <c r="I6" s="96"/>
      <c r="J6" s="92"/>
    </row>
    <row r="7" spans="1:10" s="3" customFormat="1" ht="25.5" customHeight="1" thickBot="1">
      <c r="A7" s="84"/>
      <c r="B7" s="85"/>
      <c r="C7" s="84"/>
      <c r="D7" s="88"/>
      <c r="E7" s="88"/>
      <c r="F7" s="85"/>
      <c r="G7" s="93"/>
      <c r="H7" s="94"/>
      <c r="I7" s="97"/>
      <c r="J7" s="94"/>
    </row>
    <row r="8" spans="1:10" s="3" customFormat="1" ht="27.75" customHeight="1" thickTop="1">
      <c r="A8" s="98" t="s">
        <v>19</v>
      </c>
      <c r="B8" s="99"/>
      <c r="C8" s="99"/>
      <c r="D8" s="22"/>
      <c r="E8" s="99" t="s">
        <v>15</v>
      </c>
      <c r="F8" s="99"/>
      <c r="G8" s="99"/>
      <c r="H8" s="99"/>
      <c r="I8" s="99"/>
      <c r="J8" s="14" t="s">
        <v>11</v>
      </c>
    </row>
    <row r="9" spans="1:10" s="3" customFormat="1" ht="27" customHeight="1">
      <c r="A9" s="70" t="s">
        <v>17</v>
      </c>
      <c r="B9" s="71"/>
      <c r="C9" s="71"/>
      <c r="D9" s="23"/>
      <c r="E9" s="72" t="s">
        <v>13</v>
      </c>
      <c r="F9" s="72"/>
      <c r="G9" s="73" t="s">
        <v>16</v>
      </c>
      <c r="H9" s="72"/>
      <c r="I9" s="72"/>
      <c r="J9" s="15" t="s">
        <v>12</v>
      </c>
    </row>
    <row r="10" spans="1:10" s="1" customFormat="1" ht="14.25" customHeight="1">
      <c r="A10" s="74" t="s">
        <v>0</v>
      </c>
      <c r="B10" s="76" t="s">
        <v>1</v>
      </c>
      <c r="C10" s="76" t="s">
        <v>2</v>
      </c>
      <c r="D10" s="66" t="s">
        <v>3</v>
      </c>
      <c r="E10" s="66" t="s">
        <v>4</v>
      </c>
      <c r="F10" s="66" t="s">
        <v>5</v>
      </c>
      <c r="G10" s="78" t="s">
        <v>6</v>
      </c>
      <c r="H10" s="79"/>
      <c r="I10" s="66" t="s">
        <v>7</v>
      </c>
      <c r="J10" s="68" t="s">
        <v>8</v>
      </c>
    </row>
    <row r="11" spans="1:10" s="1" customFormat="1" ht="14.25" customHeight="1">
      <c r="A11" s="75"/>
      <c r="B11" s="77"/>
      <c r="C11" s="77"/>
      <c r="D11" s="67"/>
      <c r="E11" s="67"/>
      <c r="F11" s="67"/>
      <c r="G11" s="13" t="s">
        <v>9</v>
      </c>
      <c r="H11" s="13" t="s">
        <v>10</v>
      </c>
      <c r="I11" s="67"/>
      <c r="J11" s="69"/>
    </row>
    <row r="12" spans="1:10" ht="118.5" customHeight="1">
      <c r="A12" s="4">
        <v>234</v>
      </c>
      <c r="B12" s="28" t="s">
        <v>20</v>
      </c>
      <c r="C12" s="32" t="s">
        <v>14</v>
      </c>
      <c r="D12" s="16"/>
      <c r="E12" s="17"/>
      <c r="F12" s="16"/>
      <c r="G12" s="46">
        <v>0</v>
      </c>
      <c r="H12" s="47"/>
      <c r="I12" s="46">
        <v>0</v>
      </c>
      <c r="J12" s="25" t="s">
        <v>42</v>
      </c>
    </row>
    <row r="13" spans="1:10" ht="118.5" customHeight="1">
      <c r="A13" s="39" t="s">
        <v>40</v>
      </c>
      <c r="B13" s="29" t="s">
        <v>41</v>
      </c>
      <c r="C13" s="40" t="s">
        <v>14</v>
      </c>
      <c r="D13" s="37"/>
      <c r="E13" s="17"/>
      <c r="F13" s="38"/>
      <c r="G13" s="26">
        <v>1</v>
      </c>
      <c r="H13" s="24"/>
      <c r="I13" s="48">
        <v>1</v>
      </c>
      <c r="J13" s="25"/>
    </row>
    <row r="14" spans="1:10" ht="242.25">
      <c r="A14" s="4">
        <v>235</v>
      </c>
      <c r="B14" s="28" t="s">
        <v>21</v>
      </c>
      <c r="C14" s="32" t="s">
        <v>14</v>
      </c>
      <c r="D14" s="18"/>
      <c r="E14" s="19"/>
      <c r="F14" s="20"/>
      <c r="G14" s="24">
        <v>1</v>
      </c>
      <c r="H14" s="24"/>
      <c r="I14" s="24">
        <v>1</v>
      </c>
      <c r="J14" s="25"/>
    </row>
    <row r="15" spans="1:10" ht="180">
      <c r="A15" s="4">
        <v>236</v>
      </c>
      <c r="B15" s="27" t="s">
        <v>22</v>
      </c>
      <c r="C15" s="32" t="s">
        <v>14</v>
      </c>
      <c r="D15" s="18"/>
      <c r="E15" s="19"/>
      <c r="F15" s="20"/>
      <c r="G15" s="24">
        <v>1</v>
      </c>
      <c r="H15" s="24"/>
      <c r="I15" s="24">
        <v>1</v>
      </c>
      <c r="J15" s="25"/>
    </row>
    <row r="16" spans="1:10" ht="135">
      <c r="A16" s="4">
        <v>237</v>
      </c>
      <c r="B16" s="27" t="s">
        <v>23</v>
      </c>
      <c r="C16" s="32" t="s">
        <v>14</v>
      </c>
      <c r="D16" s="24"/>
      <c r="E16" s="24"/>
      <c r="F16" s="24"/>
      <c r="G16" s="24">
        <v>1</v>
      </c>
      <c r="H16" s="24"/>
      <c r="I16" s="24">
        <v>1</v>
      </c>
      <c r="J16" s="21"/>
    </row>
    <row r="17" spans="1:10" ht="204" customHeight="1">
      <c r="A17" s="4">
        <v>238</v>
      </c>
      <c r="B17" s="28" t="s">
        <v>24</v>
      </c>
      <c r="C17" s="32" t="s">
        <v>14</v>
      </c>
      <c r="D17" s="24"/>
      <c r="E17" s="24"/>
      <c r="F17" s="24"/>
      <c r="G17" s="46">
        <v>0</v>
      </c>
      <c r="H17" s="46"/>
      <c r="I17" s="46">
        <v>0</v>
      </c>
      <c r="J17" s="21"/>
    </row>
    <row r="18" spans="1:10" ht="185.25" customHeight="1">
      <c r="A18" s="4">
        <v>239</v>
      </c>
      <c r="B18" s="28" t="s">
        <v>25</v>
      </c>
      <c r="C18" s="32" t="s">
        <v>18</v>
      </c>
      <c r="D18" s="24"/>
      <c r="E18" s="24"/>
      <c r="F18" s="24"/>
      <c r="G18" s="24">
        <v>3</v>
      </c>
      <c r="H18" s="24"/>
      <c r="I18" s="24">
        <v>3</v>
      </c>
      <c r="J18" s="21"/>
    </row>
    <row r="19" spans="1:10" ht="25.5">
      <c r="A19" s="4">
        <v>240</v>
      </c>
      <c r="B19" s="28" t="s">
        <v>26</v>
      </c>
      <c r="C19" s="32" t="s">
        <v>18</v>
      </c>
      <c r="D19" s="24"/>
      <c r="E19" s="24"/>
      <c r="F19" s="24"/>
      <c r="G19" s="24">
        <v>14</v>
      </c>
      <c r="H19" s="24"/>
      <c r="I19" s="24">
        <v>14</v>
      </c>
      <c r="J19" s="21"/>
    </row>
    <row r="20" spans="1:10" ht="25.5">
      <c r="A20" s="4">
        <v>241</v>
      </c>
      <c r="B20" s="31" t="s">
        <v>27</v>
      </c>
      <c r="C20" s="32" t="s">
        <v>18</v>
      </c>
      <c r="D20" s="24"/>
      <c r="E20" s="24"/>
      <c r="F20" s="24"/>
      <c r="G20" s="24">
        <v>2</v>
      </c>
      <c r="H20" s="24"/>
      <c r="I20" s="24">
        <v>2</v>
      </c>
      <c r="J20" s="21"/>
    </row>
    <row r="21" spans="1:10" ht="25.5">
      <c r="A21" s="4">
        <v>242</v>
      </c>
      <c r="B21" s="31" t="s">
        <v>28</v>
      </c>
      <c r="C21" s="32" t="s">
        <v>18</v>
      </c>
      <c r="D21" s="24"/>
      <c r="E21" s="24"/>
      <c r="F21" s="24"/>
      <c r="G21" s="24">
        <v>7</v>
      </c>
      <c r="H21" s="24"/>
      <c r="I21" s="24">
        <v>7</v>
      </c>
      <c r="J21" s="21"/>
    </row>
    <row r="22" spans="1:10" ht="76.5">
      <c r="A22" s="4">
        <v>243</v>
      </c>
      <c r="B22" s="31" t="s">
        <v>29</v>
      </c>
      <c r="C22" s="32" t="s">
        <v>14</v>
      </c>
      <c r="D22" s="24"/>
      <c r="E22" s="24"/>
      <c r="F22" s="24"/>
      <c r="G22" s="24">
        <v>2</v>
      </c>
      <c r="H22" s="24"/>
      <c r="I22" s="24">
        <v>2</v>
      </c>
      <c r="J22" s="30" t="s">
        <v>82</v>
      </c>
    </row>
    <row r="23" spans="1:10" ht="89.25">
      <c r="A23" s="4">
        <v>244</v>
      </c>
      <c r="B23" s="31" t="s">
        <v>30</v>
      </c>
      <c r="C23" s="32" t="s">
        <v>14</v>
      </c>
      <c r="D23" s="24"/>
      <c r="E23" s="24"/>
      <c r="F23" s="24"/>
      <c r="G23" s="24">
        <v>2</v>
      </c>
      <c r="H23" s="24"/>
      <c r="I23" s="24">
        <v>2</v>
      </c>
      <c r="J23" s="21"/>
    </row>
    <row r="24" spans="1:10" ht="63.75">
      <c r="A24" s="4">
        <v>245</v>
      </c>
      <c r="B24" s="31" t="s">
        <v>31</v>
      </c>
      <c r="C24" s="32" t="s">
        <v>14</v>
      </c>
      <c r="D24" s="24"/>
      <c r="E24" s="24"/>
      <c r="F24" s="24"/>
      <c r="G24" s="46">
        <v>0</v>
      </c>
      <c r="H24" s="46"/>
      <c r="I24" s="46">
        <v>0</v>
      </c>
      <c r="J24" s="33"/>
    </row>
    <row r="25" spans="1:10">
      <c r="A25" s="4">
        <v>246</v>
      </c>
      <c r="B25" s="31" t="s">
        <v>32</v>
      </c>
      <c r="C25" s="32" t="s">
        <v>14</v>
      </c>
      <c r="D25" s="24"/>
      <c r="E25" s="24"/>
      <c r="F25" s="24"/>
      <c r="G25" s="46">
        <v>0</v>
      </c>
      <c r="H25" s="46"/>
      <c r="I25" s="46">
        <v>0</v>
      </c>
      <c r="J25" s="21"/>
    </row>
    <row r="26" spans="1:10" ht="165.75">
      <c r="A26" s="4">
        <v>247</v>
      </c>
      <c r="B26" s="31" t="s">
        <v>33</v>
      </c>
      <c r="C26" s="32" t="s">
        <v>18</v>
      </c>
      <c r="D26" s="24"/>
      <c r="E26" s="24"/>
      <c r="F26" s="24"/>
      <c r="G26" s="24">
        <v>2</v>
      </c>
      <c r="H26" s="24"/>
      <c r="I26" s="24">
        <v>2</v>
      </c>
      <c r="J26" s="21"/>
    </row>
    <row r="27" spans="1:10" ht="25.5">
      <c r="A27" s="41" t="s">
        <v>40</v>
      </c>
      <c r="B27" s="42" t="s">
        <v>44</v>
      </c>
      <c r="C27" s="40" t="s">
        <v>18</v>
      </c>
      <c r="D27" s="26"/>
      <c r="E27" s="26"/>
      <c r="F27" s="26"/>
      <c r="G27" s="26">
        <v>10</v>
      </c>
      <c r="H27" s="26"/>
      <c r="I27" s="26">
        <v>10</v>
      </c>
      <c r="J27" s="43"/>
    </row>
    <row r="28" spans="1:10">
      <c r="A28" s="4">
        <v>248</v>
      </c>
      <c r="B28" s="31" t="s">
        <v>34</v>
      </c>
      <c r="C28" s="32" t="s">
        <v>18</v>
      </c>
      <c r="D28" s="24"/>
      <c r="E28" s="24"/>
      <c r="F28" s="24"/>
      <c r="G28" s="24">
        <v>5</v>
      </c>
      <c r="H28" s="24"/>
      <c r="I28" s="24">
        <v>5</v>
      </c>
      <c r="J28" s="33"/>
    </row>
    <row r="29" spans="1:10" ht="130.5" customHeight="1">
      <c r="A29" s="4">
        <v>249</v>
      </c>
      <c r="B29" s="31" t="s">
        <v>35</v>
      </c>
      <c r="C29" s="5" t="s">
        <v>14</v>
      </c>
      <c r="D29" s="6"/>
      <c r="E29" s="6"/>
      <c r="F29" s="6"/>
      <c r="G29" s="24">
        <v>1</v>
      </c>
      <c r="H29" s="24"/>
      <c r="I29" s="24">
        <v>1</v>
      </c>
      <c r="J29" s="7"/>
    </row>
    <row r="30" spans="1:10" ht="216.75">
      <c r="A30" s="4">
        <v>250</v>
      </c>
      <c r="B30" s="31" t="s">
        <v>36</v>
      </c>
      <c r="C30" s="32" t="s">
        <v>14</v>
      </c>
      <c r="D30" s="24"/>
      <c r="E30" s="24"/>
      <c r="F30" s="24"/>
      <c r="G30" s="24">
        <v>1</v>
      </c>
      <c r="H30" s="24"/>
      <c r="I30" s="24">
        <v>1</v>
      </c>
      <c r="J30" s="30" t="s">
        <v>43</v>
      </c>
    </row>
    <row r="31" spans="1:10" ht="38.25">
      <c r="A31" s="4">
        <v>251</v>
      </c>
      <c r="B31" s="31" t="s">
        <v>37</v>
      </c>
      <c r="C31" s="32" t="s">
        <v>14</v>
      </c>
      <c r="D31" s="24"/>
      <c r="E31" s="24"/>
      <c r="F31" s="24"/>
      <c r="G31" s="24">
        <v>1</v>
      </c>
      <c r="H31" s="24"/>
      <c r="I31" s="24">
        <v>1</v>
      </c>
      <c r="J31" s="33"/>
    </row>
    <row r="32" spans="1:10" ht="25.5">
      <c r="A32" s="39" t="s">
        <v>40</v>
      </c>
      <c r="B32" s="42" t="s">
        <v>45</v>
      </c>
      <c r="C32" s="44" t="s">
        <v>14</v>
      </c>
      <c r="D32" s="45"/>
      <c r="E32" s="45"/>
      <c r="F32" s="45"/>
      <c r="G32" s="26">
        <v>1</v>
      </c>
      <c r="H32" s="26"/>
      <c r="I32" s="26">
        <v>1</v>
      </c>
      <c r="J32" s="36"/>
    </row>
    <row r="33" spans="1:10">
      <c r="A33" s="4">
        <v>252</v>
      </c>
      <c r="B33" s="31" t="s">
        <v>38</v>
      </c>
      <c r="C33" s="5" t="s">
        <v>14</v>
      </c>
      <c r="D33" s="6"/>
      <c r="E33" s="6"/>
      <c r="F33" s="6"/>
      <c r="G33" s="46">
        <v>0</v>
      </c>
      <c r="H33" s="46"/>
      <c r="I33" s="46">
        <v>0</v>
      </c>
      <c r="J33" s="7"/>
    </row>
    <row r="34" spans="1:10" ht="288.75" customHeight="1">
      <c r="A34" s="4">
        <v>253</v>
      </c>
      <c r="B34" s="31" t="s">
        <v>39</v>
      </c>
      <c r="C34" s="5" t="s">
        <v>14</v>
      </c>
      <c r="D34" s="6"/>
      <c r="E34" s="6"/>
      <c r="F34" s="6"/>
      <c r="G34" s="24">
        <v>1</v>
      </c>
      <c r="H34" s="24"/>
      <c r="I34" s="24">
        <v>1</v>
      </c>
      <c r="J34" s="7"/>
    </row>
    <row r="35" spans="1:10" ht="15.75">
      <c r="A35" s="8"/>
      <c r="B35" s="9"/>
      <c r="C35" s="10"/>
      <c r="D35" s="10"/>
      <c r="E35" s="2"/>
      <c r="F35" s="10"/>
      <c r="G35" s="10"/>
      <c r="H35" s="10"/>
      <c r="I35" s="9"/>
      <c r="J35" s="11"/>
    </row>
  </sheetData>
  <mergeCells count="18">
    <mergeCell ref="G1:H7"/>
    <mergeCell ref="I1:J7"/>
    <mergeCell ref="E10:E11"/>
    <mergeCell ref="F10:F11"/>
    <mergeCell ref="G10:H10"/>
    <mergeCell ref="I10:I11"/>
    <mergeCell ref="J10:J11"/>
    <mergeCell ref="E9:F9"/>
    <mergeCell ref="G9:I9"/>
    <mergeCell ref="E8:I8"/>
    <mergeCell ref="B10:B11"/>
    <mergeCell ref="C10:C11"/>
    <mergeCell ref="D10:D11"/>
    <mergeCell ref="A1:B7"/>
    <mergeCell ref="C1:F7"/>
    <mergeCell ref="A9:C9"/>
    <mergeCell ref="A8:C8"/>
    <mergeCell ref="A10:A11"/>
  </mergeCells>
  <printOptions horizontalCentered="1"/>
  <pageMargins left="0" right="0" top="0" bottom="0" header="0" footer="0"/>
  <pageSetup paperSize="9" scale="91" fitToHeight="0" orientation="portrait" r:id="rId1"/>
  <headerFooter scaleWithDoc="0">
    <oddFooter xml:space="preserve">&amp;Lمراجعة : 
مهندس المالك &amp;Rإعداد : 
مهندس المقاول </oddFooter>
  </headerFooter>
  <rowBreaks count="2" manualBreakCount="2">
    <brk id="15" max="9" man="1"/>
    <brk id="20" max="9" man="1"/>
  </rowBreaks>
  <drawing r:id="rId2"/>
  <legacyDrawing r:id="rId3"/>
  <oleObjects>
    <mc:AlternateContent xmlns:mc="http://schemas.openxmlformats.org/markup-compatibility/2006">
      <mc:Choice Requires="x14">
        <oleObject progId="StaticMetafile" shapeId="9217" r:id="rId4">
          <objectPr defaultSize="0" autoPict="0" r:id="rId5">
            <anchor moveWithCells="1">
              <from>
                <xdr:col>6</xdr:col>
                <xdr:colOff>114300</xdr:colOff>
                <xdr:row>0</xdr:row>
                <xdr:rowOff>28575</xdr:rowOff>
              </from>
              <to>
                <xdr:col>7</xdr:col>
                <xdr:colOff>257175</xdr:colOff>
                <xdr:row>4</xdr:row>
                <xdr:rowOff>133350</xdr:rowOff>
              </to>
            </anchor>
          </objectPr>
        </oleObject>
      </mc:Choice>
      <mc:Fallback>
        <oleObject progId="StaticMetafile" shapeId="921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CB13-0738-49E9-BE21-006EFA198526}">
  <sheetPr>
    <pageSetUpPr fitToPage="1"/>
  </sheetPr>
  <dimension ref="A1:J29"/>
  <sheetViews>
    <sheetView view="pageBreakPreview" zoomScale="115" zoomScaleSheetLayoutView="115" workbookViewId="0">
      <selection activeCell="C21" sqref="C21"/>
    </sheetView>
  </sheetViews>
  <sheetFormatPr defaultRowHeight="15"/>
  <cols>
    <col min="1" max="1" width="4.7109375" customWidth="1"/>
    <col min="2" max="2" width="27.5703125" customWidth="1"/>
    <col min="3" max="3" width="11.7109375" customWidth="1"/>
    <col min="4" max="4" width="6.140625" style="12" customWidth="1"/>
    <col min="5" max="5" width="6.42578125" style="12" customWidth="1"/>
    <col min="6" max="6" width="6.28515625" style="12" customWidth="1"/>
    <col min="7" max="7" width="8.28515625" style="12" customWidth="1"/>
    <col min="8" max="8" width="7.7109375" style="12" customWidth="1"/>
    <col min="9" max="9" width="11.5703125" style="12" customWidth="1"/>
    <col min="10" max="10" width="20.42578125" customWidth="1"/>
  </cols>
  <sheetData>
    <row r="1" spans="1:10" s="1" customFormat="1" ht="11.25" customHeight="1" thickTop="1">
      <c r="A1" s="80"/>
      <c r="B1" s="81"/>
      <c r="C1" s="80"/>
      <c r="D1" s="86"/>
      <c r="E1" s="86"/>
      <c r="F1" s="81"/>
      <c r="G1" s="89"/>
      <c r="H1" s="90"/>
      <c r="I1" s="95"/>
      <c r="J1" s="90"/>
    </row>
    <row r="2" spans="1:10" s="1" customFormat="1" ht="11.25" customHeight="1">
      <c r="A2" s="82"/>
      <c r="B2" s="83"/>
      <c r="C2" s="82"/>
      <c r="D2" s="87"/>
      <c r="E2" s="87"/>
      <c r="F2" s="83"/>
      <c r="G2" s="91"/>
      <c r="H2" s="92"/>
      <c r="I2" s="96"/>
      <c r="J2" s="92"/>
    </row>
    <row r="3" spans="1:10" s="1" customFormat="1" ht="11.25" customHeight="1">
      <c r="A3" s="82"/>
      <c r="B3" s="83"/>
      <c r="C3" s="82"/>
      <c r="D3" s="87"/>
      <c r="E3" s="87"/>
      <c r="F3" s="83"/>
      <c r="G3" s="91"/>
      <c r="H3" s="92"/>
      <c r="I3" s="96"/>
      <c r="J3" s="92"/>
    </row>
    <row r="4" spans="1:10" s="3" customFormat="1" ht="21" customHeight="1">
      <c r="A4" s="82"/>
      <c r="B4" s="83"/>
      <c r="C4" s="82"/>
      <c r="D4" s="87"/>
      <c r="E4" s="87"/>
      <c r="F4" s="83"/>
      <c r="G4" s="91"/>
      <c r="H4" s="92"/>
      <c r="I4" s="96"/>
      <c r="J4" s="92"/>
    </row>
    <row r="5" spans="1:10" s="3" customFormat="1" ht="24" customHeight="1">
      <c r="A5" s="82"/>
      <c r="B5" s="83"/>
      <c r="C5" s="82"/>
      <c r="D5" s="87"/>
      <c r="E5" s="87"/>
      <c r="F5" s="83"/>
      <c r="G5" s="91"/>
      <c r="H5" s="92"/>
      <c r="I5" s="96"/>
      <c r="J5" s="92"/>
    </row>
    <row r="6" spans="1:10" s="3" customFormat="1" ht="28.5" customHeight="1">
      <c r="A6" s="82"/>
      <c r="B6" s="83"/>
      <c r="C6" s="82"/>
      <c r="D6" s="87"/>
      <c r="E6" s="87"/>
      <c r="F6" s="83"/>
      <c r="G6" s="91"/>
      <c r="H6" s="92"/>
      <c r="I6" s="96"/>
      <c r="J6" s="92"/>
    </row>
    <row r="7" spans="1:10" s="3" customFormat="1" ht="25.5" customHeight="1" thickBot="1">
      <c r="A7" s="84"/>
      <c r="B7" s="85"/>
      <c r="C7" s="84"/>
      <c r="D7" s="88"/>
      <c r="E7" s="88"/>
      <c r="F7" s="85"/>
      <c r="G7" s="93"/>
      <c r="H7" s="94"/>
      <c r="I7" s="97"/>
      <c r="J7" s="94"/>
    </row>
    <row r="8" spans="1:10" s="3" customFormat="1" ht="27.75" customHeight="1" thickTop="1">
      <c r="A8" s="98" t="s">
        <v>65</v>
      </c>
      <c r="B8" s="99"/>
      <c r="C8" s="99"/>
      <c r="D8" s="35"/>
      <c r="E8" s="99" t="s">
        <v>15</v>
      </c>
      <c r="F8" s="99"/>
      <c r="G8" s="99"/>
      <c r="H8" s="99"/>
      <c r="I8" s="99"/>
      <c r="J8" s="14" t="s">
        <v>11</v>
      </c>
    </row>
    <row r="9" spans="1:10" s="3" customFormat="1" ht="27" customHeight="1">
      <c r="A9" s="70" t="s">
        <v>17</v>
      </c>
      <c r="B9" s="71"/>
      <c r="C9" s="71"/>
      <c r="D9" s="23"/>
      <c r="E9" s="72" t="s">
        <v>13</v>
      </c>
      <c r="F9" s="72"/>
      <c r="G9" s="73" t="s">
        <v>16</v>
      </c>
      <c r="H9" s="72"/>
      <c r="I9" s="72"/>
      <c r="J9" s="15" t="s">
        <v>12</v>
      </c>
    </row>
    <row r="10" spans="1:10" s="1" customFormat="1" ht="14.25" customHeight="1">
      <c r="A10" s="74" t="s">
        <v>0</v>
      </c>
      <c r="B10" s="76" t="s">
        <v>1</v>
      </c>
      <c r="C10" s="76" t="s">
        <v>2</v>
      </c>
      <c r="D10" s="66" t="s">
        <v>3</v>
      </c>
      <c r="E10" s="66" t="s">
        <v>4</v>
      </c>
      <c r="F10" s="66" t="s">
        <v>5</v>
      </c>
      <c r="G10" s="78" t="s">
        <v>6</v>
      </c>
      <c r="H10" s="79"/>
      <c r="I10" s="66" t="s">
        <v>7</v>
      </c>
      <c r="J10" s="68" t="s">
        <v>8</v>
      </c>
    </row>
    <row r="11" spans="1:10" s="1" customFormat="1" ht="14.25" customHeight="1">
      <c r="A11" s="75"/>
      <c r="B11" s="77"/>
      <c r="C11" s="77"/>
      <c r="D11" s="67"/>
      <c r="E11" s="67"/>
      <c r="F11" s="67"/>
      <c r="G11" s="34" t="s">
        <v>9</v>
      </c>
      <c r="H11" s="34" t="s">
        <v>10</v>
      </c>
      <c r="I11" s="67"/>
      <c r="J11" s="69"/>
    </row>
    <row r="12" spans="1:10" ht="118.5" customHeight="1">
      <c r="A12" s="4">
        <v>254</v>
      </c>
      <c r="B12" s="28" t="s">
        <v>66</v>
      </c>
      <c r="C12" s="32" t="s">
        <v>14</v>
      </c>
      <c r="D12" s="16"/>
      <c r="E12" s="17"/>
      <c r="F12" s="16"/>
      <c r="G12" s="46">
        <v>3</v>
      </c>
      <c r="H12" s="47"/>
      <c r="I12" s="46">
        <v>3</v>
      </c>
      <c r="J12" s="25"/>
    </row>
    <row r="13" spans="1:10" ht="43.5" customHeight="1">
      <c r="A13" s="100">
        <v>255</v>
      </c>
      <c r="B13" s="101" t="s">
        <v>67</v>
      </c>
      <c r="C13" s="102" t="s">
        <v>14</v>
      </c>
      <c r="D13" s="103"/>
      <c r="E13" s="104"/>
      <c r="F13" s="105"/>
      <c r="G13" s="108">
        <v>0</v>
      </c>
      <c r="H13" s="106"/>
      <c r="I13" s="46">
        <v>0</v>
      </c>
      <c r="J13" s="107"/>
    </row>
    <row r="14" spans="1:10" ht="89.25">
      <c r="A14" s="4">
        <v>256</v>
      </c>
      <c r="B14" s="28" t="s">
        <v>68</v>
      </c>
      <c r="C14" s="32" t="s">
        <v>14</v>
      </c>
      <c r="D14" s="18"/>
      <c r="E14" s="19"/>
      <c r="F14" s="20"/>
      <c r="G14" s="24">
        <v>4</v>
      </c>
      <c r="H14" s="24"/>
      <c r="I14" s="24">
        <v>4</v>
      </c>
      <c r="J14" s="25"/>
    </row>
    <row r="15" spans="1:10" ht="89.25">
      <c r="A15" s="4">
        <v>257</v>
      </c>
      <c r="B15" s="28" t="s">
        <v>69</v>
      </c>
      <c r="C15" s="32" t="s">
        <v>14</v>
      </c>
      <c r="D15" s="18"/>
      <c r="E15" s="19"/>
      <c r="F15" s="20"/>
      <c r="G15" s="24">
        <v>2</v>
      </c>
      <c r="H15" s="24"/>
      <c r="I15" s="24">
        <v>2</v>
      </c>
      <c r="J15" s="25" t="s">
        <v>81</v>
      </c>
    </row>
    <row r="16" spans="1:10" ht="114.75">
      <c r="A16" s="4">
        <v>258</v>
      </c>
      <c r="B16" s="28" t="s">
        <v>70</v>
      </c>
      <c r="C16" s="32" t="s">
        <v>18</v>
      </c>
      <c r="D16" s="24"/>
      <c r="E16" s="24"/>
      <c r="F16" s="24"/>
      <c r="G16" s="110">
        <v>0</v>
      </c>
      <c r="H16" s="47"/>
      <c r="I16" s="110">
        <v>0</v>
      </c>
      <c r="J16" s="21"/>
    </row>
    <row r="17" spans="1:10" ht="102">
      <c r="A17" s="4">
        <v>259</v>
      </c>
      <c r="B17" s="28" t="s">
        <v>71</v>
      </c>
      <c r="C17" s="32" t="s">
        <v>14</v>
      </c>
      <c r="D17" s="24"/>
      <c r="E17" s="24"/>
      <c r="F17" s="24"/>
      <c r="G17" s="46">
        <v>2</v>
      </c>
      <c r="H17" s="46"/>
      <c r="I17" s="46">
        <v>2</v>
      </c>
      <c r="J17" s="21"/>
    </row>
    <row r="18" spans="1:10" ht="165.75">
      <c r="A18" s="4">
        <v>260</v>
      </c>
      <c r="B18" s="28" t="s">
        <v>72</v>
      </c>
      <c r="C18" s="32" t="s">
        <v>14</v>
      </c>
      <c r="D18" s="24"/>
      <c r="E18" s="24"/>
      <c r="F18" s="24"/>
      <c r="G18" s="109">
        <v>0</v>
      </c>
      <c r="H18" s="109"/>
      <c r="I18" s="109">
        <v>0</v>
      </c>
      <c r="J18" s="21"/>
    </row>
    <row r="19" spans="1:10" ht="165.75">
      <c r="A19" s="41" t="s">
        <v>40</v>
      </c>
      <c r="B19" s="42" t="s">
        <v>83</v>
      </c>
      <c r="C19" s="40" t="s">
        <v>14</v>
      </c>
      <c r="D19" s="26"/>
      <c r="E19" s="26"/>
      <c r="F19" s="26"/>
      <c r="G19" s="48">
        <v>1</v>
      </c>
      <c r="H19" s="48"/>
      <c r="I19" s="48">
        <v>1</v>
      </c>
      <c r="J19" s="33" t="s">
        <v>85</v>
      </c>
    </row>
    <row r="20" spans="1:10" ht="25.5">
      <c r="A20" s="41" t="s">
        <v>40</v>
      </c>
      <c r="B20" s="42" t="s">
        <v>84</v>
      </c>
      <c r="C20" s="40" t="s">
        <v>14</v>
      </c>
      <c r="D20" s="26"/>
      <c r="E20" s="26"/>
      <c r="F20" s="26"/>
      <c r="G20" s="48">
        <v>1</v>
      </c>
      <c r="H20" s="48"/>
      <c r="I20" s="48">
        <v>1</v>
      </c>
      <c r="J20" s="33" t="s">
        <v>85</v>
      </c>
    </row>
    <row r="21" spans="1:10" ht="25.5">
      <c r="A21" s="4">
        <v>261</v>
      </c>
      <c r="B21" s="28" t="s">
        <v>73</v>
      </c>
      <c r="C21" s="32" t="s">
        <v>14</v>
      </c>
      <c r="D21" s="24"/>
      <c r="E21" s="24"/>
      <c r="F21" s="24"/>
      <c r="G21" s="110">
        <v>0</v>
      </c>
      <c r="H21" s="110"/>
      <c r="I21" s="110">
        <v>0</v>
      </c>
      <c r="J21" s="21"/>
    </row>
    <row r="22" spans="1:10" ht="25.5">
      <c r="A22" s="4">
        <v>262</v>
      </c>
      <c r="B22" s="31" t="s">
        <v>74</v>
      </c>
      <c r="C22" s="32" t="s">
        <v>14</v>
      </c>
      <c r="D22" s="24"/>
      <c r="E22" s="24"/>
      <c r="F22" s="24"/>
      <c r="G22" s="110">
        <v>0</v>
      </c>
      <c r="H22" s="110"/>
      <c r="I22" s="110">
        <v>0</v>
      </c>
      <c r="J22" s="21"/>
    </row>
    <row r="23" spans="1:10" ht="25.5">
      <c r="A23" s="4">
        <v>263</v>
      </c>
      <c r="B23" s="31" t="s">
        <v>75</v>
      </c>
      <c r="C23" s="32" t="s">
        <v>14</v>
      </c>
      <c r="D23" s="24"/>
      <c r="E23" s="24"/>
      <c r="F23" s="24"/>
      <c r="G23" s="110">
        <v>0</v>
      </c>
      <c r="H23" s="110"/>
      <c r="I23" s="110">
        <v>0</v>
      </c>
      <c r="J23" s="21"/>
    </row>
    <row r="24" spans="1:10" ht="89.25">
      <c r="A24" s="4">
        <v>264</v>
      </c>
      <c r="B24" s="31" t="s">
        <v>76</v>
      </c>
      <c r="C24" s="32" t="s">
        <v>14</v>
      </c>
      <c r="D24" s="24"/>
      <c r="E24" s="24"/>
      <c r="F24" s="24"/>
      <c r="G24" s="110">
        <v>0</v>
      </c>
      <c r="H24" s="110"/>
      <c r="I24" s="110">
        <v>0</v>
      </c>
      <c r="J24" s="21"/>
    </row>
    <row r="25" spans="1:10" ht="76.5">
      <c r="A25" s="4">
        <v>265</v>
      </c>
      <c r="B25" s="31" t="s">
        <v>77</v>
      </c>
      <c r="C25" s="32" t="s">
        <v>14</v>
      </c>
      <c r="D25" s="24"/>
      <c r="E25" s="24"/>
      <c r="F25" s="24"/>
      <c r="G25" s="110">
        <v>0</v>
      </c>
      <c r="H25" s="110"/>
      <c r="I25" s="110">
        <v>0</v>
      </c>
      <c r="J25" s="21"/>
    </row>
    <row r="26" spans="1:10" ht="114.75">
      <c r="A26" s="4">
        <v>266</v>
      </c>
      <c r="B26" s="31" t="s">
        <v>78</v>
      </c>
      <c r="C26" s="32" t="s">
        <v>18</v>
      </c>
      <c r="D26" s="24"/>
      <c r="E26" s="24"/>
      <c r="F26" s="24"/>
      <c r="G26" s="46">
        <v>0</v>
      </c>
      <c r="H26" s="46"/>
      <c r="I26" s="46">
        <v>0</v>
      </c>
      <c r="J26" s="33"/>
    </row>
    <row r="27" spans="1:10" ht="102">
      <c r="A27" s="4">
        <v>267</v>
      </c>
      <c r="B27" s="31" t="s">
        <v>79</v>
      </c>
      <c r="C27" s="32" t="s">
        <v>14</v>
      </c>
      <c r="D27" s="24"/>
      <c r="E27" s="24"/>
      <c r="F27" s="24"/>
      <c r="G27" s="46">
        <v>0</v>
      </c>
      <c r="H27" s="46"/>
      <c r="I27" s="46">
        <v>0</v>
      </c>
      <c r="J27" s="21"/>
    </row>
    <row r="28" spans="1:10" ht="102">
      <c r="A28" s="4">
        <v>268</v>
      </c>
      <c r="B28" s="31" t="s">
        <v>80</v>
      </c>
      <c r="C28" s="32" t="s">
        <v>14</v>
      </c>
      <c r="D28" s="24"/>
      <c r="E28" s="24"/>
      <c r="F28" s="24"/>
      <c r="G28" s="110">
        <v>0</v>
      </c>
      <c r="H28" s="110"/>
      <c r="I28" s="110">
        <v>0</v>
      </c>
      <c r="J28" s="21"/>
    </row>
    <row r="29" spans="1:10" ht="15.75">
      <c r="A29" s="8"/>
      <c r="B29" s="9"/>
      <c r="C29" s="10"/>
      <c r="D29" s="10"/>
      <c r="E29" s="2"/>
      <c r="F29" s="10"/>
      <c r="G29" s="10"/>
      <c r="H29" s="10"/>
      <c r="I29" s="9"/>
      <c r="J29" s="11"/>
    </row>
  </sheetData>
  <mergeCells count="18">
    <mergeCell ref="A1:B7"/>
    <mergeCell ref="C1:F7"/>
    <mergeCell ref="G1:H7"/>
    <mergeCell ref="I1:J7"/>
    <mergeCell ref="A8:C8"/>
    <mergeCell ref="E8:I8"/>
    <mergeCell ref="I10:I11"/>
    <mergeCell ref="J10:J11"/>
    <mergeCell ref="A9:C9"/>
    <mergeCell ref="E9:F9"/>
    <mergeCell ref="G9:I9"/>
    <mergeCell ref="A10:A11"/>
    <mergeCell ref="B10:B11"/>
    <mergeCell ref="C10:C11"/>
    <mergeCell ref="D10:D11"/>
    <mergeCell ref="E10:E11"/>
    <mergeCell ref="F10:F11"/>
    <mergeCell ref="G10:H10"/>
  </mergeCells>
  <printOptions horizontalCentered="1"/>
  <pageMargins left="0" right="0" top="0" bottom="0" header="0" footer="0"/>
  <pageSetup paperSize="9" scale="91" fitToHeight="0" orientation="portrait" r:id="rId1"/>
  <headerFooter scaleWithDoc="0">
    <oddFooter xml:space="preserve">&amp;Lمراجعة : 
مهندس المالك &amp;Rإعداد : 
مهندس المقاول </oddFooter>
  </headerFooter>
  <rowBreaks count="2" manualBreakCount="2">
    <brk id="15" max="9" man="1"/>
    <brk id="22" max="9" man="1"/>
  </rowBreaks>
  <drawing r:id="rId2"/>
  <legacyDrawing r:id="rId3"/>
  <oleObjects>
    <mc:AlternateContent xmlns:mc="http://schemas.openxmlformats.org/markup-compatibility/2006">
      <mc:Choice Requires="x14">
        <oleObject progId="StaticMetafile" shapeId="10241" r:id="rId4">
          <objectPr defaultSize="0" autoPict="0" r:id="rId5">
            <anchor moveWithCells="1">
              <from>
                <xdr:col>6</xdr:col>
                <xdr:colOff>114300</xdr:colOff>
                <xdr:row>0</xdr:row>
                <xdr:rowOff>28575</xdr:rowOff>
              </from>
              <to>
                <xdr:col>7</xdr:col>
                <xdr:colOff>257175</xdr:colOff>
                <xdr:row>4</xdr:row>
                <xdr:rowOff>133350</xdr:rowOff>
              </to>
            </anchor>
          </objectPr>
        </oleObject>
      </mc:Choice>
      <mc:Fallback>
        <oleObject progId="StaticMetafile" shapeId="10241"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5BF77-C6D5-4F51-8DF7-7F91A7F635D3}">
  <sheetPr>
    <pageSetUpPr fitToPage="1"/>
  </sheetPr>
  <dimension ref="A1:J56"/>
  <sheetViews>
    <sheetView view="pageBreakPreview" zoomScale="115" zoomScaleSheetLayoutView="115" workbookViewId="0">
      <selection activeCell="J58" sqref="J58"/>
    </sheetView>
  </sheetViews>
  <sheetFormatPr defaultRowHeight="15"/>
  <cols>
    <col min="1" max="1" width="4.7109375" customWidth="1"/>
    <col min="2" max="2" width="27.5703125" customWidth="1"/>
    <col min="3" max="3" width="11.7109375" customWidth="1"/>
    <col min="4" max="4" width="6.140625" style="12" customWidth="1"/>
    <col min="5" max="5" width="6.42578125" style="12" customWidth="1"/>
    <col min="6" max="6" width="6.28515625" style="12" customWidth="1"/>
    <col min="7" max="7" width="8.28515625" style="12" customWidth="1"/>
    <col min="8" max="8" width="7.7109375" style="12" customWidth="1"/>
    <col min="9" max="9" width="11.5703125" style="12" customWidth="1"/>
    <col min="10" max="10" width="20.42578125" customWidth="1"/>
  </cols>
  <sheetData>
    <row r="1" spans="1:10" s="1" customFormat="1" ht="11.25" customHeight="1" thickTop="1">
      <c r="A1" s="80"/>
      <c r="B1" s="81"/>
      <c r="C1" s="80"/>
      <c r="D1" s="86"/>
      <c r="E1" s="86"/>
      <c r="F1" s="81"/>
      <c r="G1" s="89"/>
      <c r="H1" s="90"/>
      <c r="I1" s="95"/>
      <c r="J1" s="90"/>
    </row>
    <row r="2" spans="1:10" s="1" customFormat="1" ht="11.25" customHeight="1">
      <c r="A2" s="82"/>
      <c r="B2" s="83"/>
      <c r="C2" s="82"/>
      <c r="D2" s="87"/>
      <c r="E2" s="87"/>
      <c r="F2" s="83"/>
      <c r="G2" s="91"/>
      <c r="H2" s="92"/>
      <c r="I2" s="96"/>
      <c r="J2" s="92"/>
    </row>
    <row r="3" spans="1:10" s="1" customFormat="1" ht="11.25" customHeight="1">
      <c r="A3" s="82"/>
      <c r="B3" s="83"/>
      <c r="C3" s="82"/>
      <c r="D3" s="87"/>
      <c r="E3" s="87"/>
      <c r="F3" s="83"/>
      <c r="G3" s="91"/>
      <c r="H3" s="92"/>
      <c r="I3" s="96"/>
      <c r="J3" s="92"/>
    </row>
    <row r="4" spans="1:10" s="3" customFormat="1" ht="21" customHeight="1">
      <c r="A4" s="82"/>
      <c r="B4" s="83"/>
      <c r="C4" s="82"/>
      <c r="D4" s="87"/>
      <c r="E4" s="87"/>
      <c r="F4" s="83"/>
      <c r="G4" s="91"/>
      <c r="H4" s="92"/>
      <c r="I4" s="96"/>
      <c r="J4" s="92"/>
    </row>
    <row r="5" spans="1:10" s="3" customFormat="1" ht="24" customHeight="1">
      <c r="A5" s="82"/>
      <c r="B5" s="83"/>
      <c r="C5" s="82"/>
      <c r="D5" s="87"/>
      <c r="E5" s="87"/>
      <c r="F5" s="83"/>
      <c r="G5" s="91"/>
      <c r="H5" s="92"/>
      <c r="I5" s="96"/>
      <c r="J5" s="92"/>
    </row>
    <row r="6" spans="1:10" s="3" customFormat="1" ht="28.5" customHeight="1">
      <c r="A6" s="82"/>
      <c r="B6" s="83"/>
      <c r="C6" s="82"/>
      <c r="D6" s="87"/>
      <c r="E6" s="87"/>
      <c r="F6" s="83"/>
      <c r="G6" s="91"/>
      <c r="H6" s="92"/>
      <c r="I6" s="96"/>
      <c r="J6" s="92"/>
    </row>
    <row r="7" spans="1:10" s="3" customFormat="1" ht="25.5" customHeight="1" thickBot="1">
      <c r="A7" s="84"/>
      <c r="B7" s="85"/>
      <c r="C7" s="84"/>
      <c r="D7" s="88"/>
      <c r="E7" s="88"/>
      <c r="F7" s="85"/>
      <c r="G7" s="93"/>
      <c r="H7" s="94"/>
      <c r="I7" s="97"/>
      <c r="J7" s="94"/>
    </row>
    <row r="8" spans="1:10" s="3" customFormat="1" ht="27.75" customHeight="1" thickTop="1">
      <c r="A8" s="98" t="s">
        <v>86</v>
      </c>
      <c r="B8" s="99"/>
      <c r="C8" s="99"/>
      <c r="D8" s="50"/>
      <c r="E8" s="99" t="s">
        <v>15</v>
      </c>
      <c r="F8" s="99"/>
      <c r="G8" s="99"/>
      <c r="H8" s="99"/>
      <c r="I8" s="99"/>
      <c r="J8" s="14" t="s">
        <v>11</v>
      </c>
    </row>
    <row r="9" spans="1:10" s="3" customFormat="1" ht="27" customHeight="1">
      <c r="A9" s="70" t="s">
        <v>17</v>
      </c>
      <c r="B9" s="71"/>
      <c r="C9" s="71"/>
      <c r="D9" s="23"/>
      <c r="E9" s="72" t="s">
        <v>13</v>
      </c>
      <c r="F9" s="72"/>
      <c r="G9" s="73" t="s">
        <v>16</v>
      </c>
      <c r="H9" s="72"/>
      <c r="I9" s="72"/>
      <c r="J9" s="15" t="s">
        <v>12</v>
      </c>
    </row>
    <row r="10" spans="1:10" s="1" customFormat="1" ht="14.25" customHeight="1">
      <c r="A10" s="74" t="s">
        <v>0</v>
      </c>
      <c r="B10" s="76" t="s">
        <v>1</v>
      </c>
      <c r="C10" s="76" t="s">
        <v>2</v>
      </c>
      <c r="D10" s="66" t="s">
        <v>3</v>
      </c>
      <c r="E10" s="66" t="s">
        <v>4</v>
      </c>
      <c r="F10" s="66" t="s">
        <v>5</v>
      </c>
      <c r="G10" s="78" t="s">
        <v>6</v>
      </c>
      <c r="H10" s="79"/>
      <c r="I10" s="66" t="s">
        <v>7</v>
      </c>
      <c r="J10" s="68" t="s">
        <v>8</v>
      </c>
    </row>
    <row r="11" spans="1:10" s="1" customFormat="1" ht="14.25" customHeight="1">
      <c r="A11" s="75"/>
      <c r="B11" s="77"/>
      <c r="C11" s="77"/>
      <c r="D11" s="67"/>
      <c r="E11" s="67"/>
      <c r="F11" s="67"/>
      <c r="G11" s="49" t="s">
        <v>9</v>
      </c>
      <c r="H11" s="49" t="s">
        <v>10</v>
      </c>
      <c r="I11" s="67"/>
      <c r="J11" s="69"/>
    </row>
    <row r="12" spans="1:10" ht="243">
      <c r="A12" s="4">
        <v>269</v>
      </c>
      <c r="B12" s="111" t="s">
        <v>21</v>
      </c>
      <c r="C12" s="32" t="s">
        <v>14</v>
      </c>
      <c r="D12" s="16"/>
      <c r="E12" s="17"/>
      <c r="F12" s="16"/>
      <c r="G12" s="46">
        <v>5</v>
      </c>
      <c r="H12" s="47"/>
      <c r="I12" s="46">
        <v>5</v>
      </c>
      <c r="J12" s="25"/>
    </row>
    <row r="13" spans="1:10" ht="43.5" customHeight="1">
      <c r="A13" s="100">
        <v>270</v>
      </c>
      <c r="B13" s="101" t="s">
        <v>87</v>
      </c>
      <c r="C13" s="102" t="s">
        <v>14</v>
      </c>
      <c r="D13" s="103"/>
      <c r="E13" s="104"/>
      <c r="F13" s="105"/>
      <c r="G13" s="46">
        <v>0</v>
      </c>
      <c r="H13" s="119"/>
      <c r="I13" s="46">
        <v>0</v>
      </c>
      <c r="J13" s="107"/>
    </row>
    <row r="14" spans="1:10" ht="38.25">
      <c r="A14" s="4">
        <v>271</v>
      </c>
      <c r="B14" s="28" t="s">
        <v>88</v>
      </c>
      <c r="C14" s="32" t="s">
        <v>14</v>
      </c>
      <c r="D14" s="18"/>
      <c r="E14" s="19"/>
      <c r="F14" s="20"/>
      <c r="G14" s="110">
        <v>0</v>
      </c>
      <c r="H14" s="110"/>
      <c r="I14" s="110">
        <v>0</v>
      </c>
      <c r="J14" s="25"/>
    </row>
    <row r="15" spans="1:10" ht="89.25">
      <c r="A15" s="4">
        <v>272</v>
      </c>
      <c r="B15" s="28" t="s">
        <v>41</v>
      </c>
      <c r="C15" s="32" t="s">
        <v>14</v>
      </c>
      <c r="D15" s="18"/>
      <c r="E15" s="19"/>
      <c r="F15" s="20"/>
      <c r="G15" s="24">
        <v>5</v>
      </c>
      <c r="H15" s="24"/>
      <c r="I15" s="24">
        <v>5</v>
      </c>
      <c r="J15" s="25"/>
    </row>
    <row r="16" spans="1:10" ht="25.5">
      <c r="A16" s="4">
        <v>273</v>
      </c>
      <c r="B16" s="28" t="s">
        <v>89</v>
      </c>
      <c r="C16" s="32" t="s">
        <v>14</v>
      </c>
      <c r="D16" s="24"/>
      <c r="E16" s="24"/>
      <c r="F16" s="24"/>
      <c r="G16" s="110">
        <v>0</v>
      </c>
      <c r="H16" s="47"/>
      <c r="I16" s="110">
        <v>0</v>
      </c>
      <c r="J16" s="21"/>
    </row>
    <row r="17" spans="1:10" ht="25.5">
      <c r="A17" s="41" t="s">
        <v>40</v>
      </c>
      <c r="B17" s="42" t="s">
        <v>115</v>
      </c>
      <c r="C17" s="40" t="s">
        <v>14</v>
      </c>
      <c r="D17" s="26"/>
      <c r="E17" s="26"/>
      <c r="F17" s="26"/>
      <c r="G17" s="48">
        <v>1</v>
      </c>
      <c r="H17" s="120"/>
      <c r="I17" s="48">
        <v>1</v>
      </c>
      <c r="J17" s="43"/>
    </row>
    <row r="18" spans="1:10" ht="153">
      <c r="A18" s="4">
        <v>274</v>
      </c>
      <c r="B18" s="28" t="s">
        <v>90</v>
      </c>
      <c r="C18" s="32" t="s">
        <v>14</v>
      </c>
      <c r="D18" s="24"/>
      <c r="E18" s="24"/>
      <c r="F18" s="24"/>
      <c r="G18" s="46">
        <v>4</v>
      </c>
      <c r="H18" s="46"/>
      <c r="I18" s="46">
        <v>4</v>
      </c>
      <c r="J18" s="21"/>
    </row>
    <row r="19" spans="1:10" ht="114.75">
      <c r="A19" s="4">
        <v>275</v>
      </c>
      <c r="B19" s="28" t="s">
        <v>91</v>
      </c>
      <c r="C19" s="32" t="s">
        <v>14</v>
      </c>
      <c r="D19" s="24"/>
      <c r="E19" s="24"/>
      <c r="F19" s="24"/>
      <c r="G19" s="110">
        <v>2</v>
      </c>
      <c r="H19" s="110"/>
      <c r="I19" s="110">
        <v>2</v>
      </c>
      <c r="J19" s="21"/>
    </row>
    <row r="20" spans="1:10" ht="114.75">
      <c r="A20" s="4">
        <v>276</v>
      </c>
      <c r="B20" s="101" t="s">
        <v>92</v>
      </c>
      <c r="C20" s="102" t="s">
        <v>14</v>
      </c>
      <c r="D20" s="106"/>
      <c r="E20" s="106"/>
      <c r="F20" s="106"/>
      <c r="G20" s="46">
        <v>2</v>
      </c>
      <c r="H20" s="46"/>
      <c r="I20" s="46">
        <v>2</v>
      </c>
      <c r="J20" s="112" t="s">
        <v>85</v>
      </c>
    </row>
    <row r="21" spans="1:10" ht="140.25">
      <c r="A21" s="4">
        <v>277</v>
      </c>
      <c r="B21" s="101" t="s">
        <v>93</v>
      </c>
      <c r="C21" s="102" t="s">
        <v>14</v>
      </c>
      <c r="D21" s="106"/>
      <c r="E21" s="106"/>
      <c r="F21" s="106"/>
      <c r="G21" s="46">
        <v>1</v>
      </c>
      <c r="H21" s="46"/>
      <c r="I21" s="46">
        <v>1</v>
      </c>
      <c r="J21" s="112"/>
    </row>
    <row r="22" spans="1:10" ht="114.75">
      <c r="A22" s="4">
        <v>278</v>
      </c>
      <c r="B22" s="28" t="s">
        <v>94</v>
      </c>
      <c r="C22" s="32" t="s">
        <v>14</v>
      </c>
      <c r="D22" s="24"/>
      <c r="E22" s="24"/>
      <c r="F22" s="24"/>
      <c r="G22" s="110">
        <v>0</v>
      </c>
      <c r="H22" s="110"/>
      <c r="I22" s="110">
        <v>0</v>
      </c>
      <c r="J22" s="33" t="s">
        <v>116</v>
      </c>
    </row>
    <row r="23" spans="1:10" ht="107.25" customHeight="1">
      <c r="A23" s="4">
        <v>279</v>
      </c>
      <c r="B23" s="101" t="s">
        <v>95</v>
      </c>
      <c r="C23" s="32" t="s">
        <v>14</v>
      </c>
      <c r="D23" s="24"/>
      <c r="E23" s="24"/>
      <c r="F23" s="24"/>
      <c r="G23" s="110">
        <v>0</v>
      </c>
      <c r="H23" s="110"/>
      <c r="I23" s="110">
        <v>0</v>
      </c>
      <c r="J23" s="21"/>
    </row>
    <row r="24" spans="1:10" ht="63.75">
      <c r="A24" s="4">
        <v>280</v>
      </c>
      <c r="B24" s="101" t="s">
        <v>96</v>
      </c>
      <c r="C24" s="32" t="s">
        <v>14</v>
      </c>
      <c r="D24" s="24"/>
      <c r="E24" s="24"/>
      <c r="F24" s="24"/>
      <c r="G24" s="110">
        <v>4</v>
      </c>
      <c r="H24" s="110"/>
      <c r="I24" s="110">
        <v>4</v>
      </c>
      <c r="J24" s="21"/>
    </row>
    <row r="25" spans="1:10" ht="76.5">
      <c r="A25" s="4">
        <v>281</v>
      </c>
      <c r="B25" s="31" t="s">
        <v>97</v>
      </c>
      <c r="C25" s="32" t="s">
        <v>14</v>
      </c>
      <c r="D25" s="24"/>
      <c r="E25" s="24"/>
      <c r="F25" s="24"/>
      <c r="G25" s="110">
        <v>4</v>
      </c>
      <c r="H25" s="110"/>
      <c r="I25" s="110">
        <v>4</v>
      </c>
      <c r="J25" s="21"/>
    </row>
    <row r="26" spans="1:10" ht="89.25">
      <c r="A26" s="4">
        <v>282</v>
      </c>
      <c r="B26" s="31" t="s">
        <v>98</v>
      </c>
      <c r="C26" s="32" t="s">
        <v>14</v>
      </c>
      <c r="D26" s="24"/>
      <c r="E26" s="24"/>
      <c r="F26" s="24"/>
      <c r="G26" s="110">
        <v>5</v>
      </c>
      <c r="H26" s="110"/>
      <c r="I26" s="110">
        <v>5</v>
      </c>
      <c r="J26" s="21"/>
    </row>
    <row r="27" spans="1:10" ht="25.5">
      <c r="A27" s="4">
        <v>283</v>
      </c>
      <c r="B27" s="31" t="s">
        <v>99</v>
      </c>
      <c r="C27" s="32" t="s">
        <v>14</v>
      </c>
      <c r="D27" s="24"/>
      <c r="E27" s="24"/>
      <c r="F27" s="24"/>
      <c r="G27" s="46">
        <v>1</v>
      </c>
      <c r="H27" s="46"/>
      <c r="I27" s="46">
        <v>1</v>
      </c>
      <c r="J27" s="33"/>
    </row>
    <row r="28" spans="1:10" ht="63.75">
      <c r="A28" s="4">
        <v>284</v>
      </c>
      <c r="B28" s="31" t="s">
        <v>100</v>
      </c>
      <c r="C28" s="32" t="s">
        <v>14</v>
      </c>
      <c r="D28" s="24"/>
      <c r="E28" s="24"/>
      <c r="F28" s="24"/>
      <c r="G28" s="46">
        <v>2</v>
      </c>
      <c r="H28" s="46"/>
      <c r="I28" s="46">
        <v>2</v>
      </c>
      <c r="J28" s="21"/>
    </row>
    <row r="29" spans="1:10">
      <c r="A29" s="4">
        <v>285</v>
      </c>
      <c r="B29" s="31" t="s">
        <v>32</v>
      </c>
      <c r="C29" s="32" t="s">
        <v>14</v>
      </c>
      <c r="D29" s="24"/>
      <c r="E29" s="24"/>
      <c r="F29" s="24"/>
      <c r="G29" s="110">
        <v>2</v>
      </c>
      <c r="H29" s="110"/>
      <c r="I29" s="110">
        <v>2</v>
      </c>
      <c r="J29" s="21"/>
    </row>
    <row r="30" spans="1:10" ht="127.5">
      <c r="A30" s="4">
        <v>286</v>
      </c>
      <c r="B30" s="31" t="s">
        <v>52</v>
      </c>
      <c r="C30" s="32" t="s">
        <v>18</v>
      </c>
      <c r="D30" s="24"/>
      <c r="E30" s="24"/>
      <c r="F30" s="24"/>
      <c r="G30" s="110">
        <v>11</v>
      </c>
      <c r="H30" s="110"/>
      <c r="I30" s="110">
        <v>11</v>
      </c>
      <c r="J30" s="21"/>
    </row>
    <row r="31" spans="1:10" ht="25.5">
      <c r="A31" s="4">
        <v>287</v>
      </c>
      <c r="B31" s="31" t="s">
        <v>26</v>
      </c>
      <c r="C31" s="32" t="s">
        <v>18</v>
      </c>
      <c r="D31" s="24"/>
      <c r="E31" s="24"/>
      <c r="F31" s="24"/>
      <c r="G31" s="46">
        <v>20</v>
      </c>
      <c r="H31" s="46"/>
      <c r="I31" s="46">
        <v>20</v>
      </c>
      <c r="J31" s="33"/>
    </row>
    <row r="32" spans="1:10" ht="25.5">
      <c r="A32" s="4">
        <v>288</v>
      </c>
      <c r="B32" s="31" t="s">
        <v>27</v>
      </c>
      <c r="C32" s="32" t="s">
        <v>18</v>
      </c>
      <c r="D32" s="24"/>
      <c r="E32" s="24"/>
      <c r="F32" s="24"/>
      <c r="G32" s="46">
        <v>30</v>
      </c>
      <c r="H32" s="46"/>
      <c r="I32" s="46">
        <v>30</v>
      </c>
      <c r="J32" s="21"/>
    </row>
    <row r="33" spans="1:10" ht="25.5">
      <c r="A33" s="4">
        <v>289</v>
      </c>
      <c r="B33" s="31" t="s">
        <v>101</v>
      </c>
      <c r="C33" s="32" t="s">
        <v>18</v>
      </c>
      <c r="D33" s="24"/>
      <c r="E33" s="24"/>
      <c r="F33" s="24"/>
      <c r="G33" s="110">
        <v>0</v>
      </c>
      <c r="H33" s="110"/>
      <c r="I33" s="110">
        <v>0</v>
      </c>
      <c r="J33" s="21"/>
    </row>
    <row r="34" spans="1:10" ht="25.5">
      <c r="A34" s="4">
        <v>290</v>
      </c>
      <c r="B34" s="31" t="s">
        <v>102</v>
      </c>
      <c r="C34" s="32" t="s">
        <v>18</v>
      </c>
      <c r="D34" s="24"/>
      <c r="E34" s="24"/>
      <c r="F34" s="24"/>
      <c r="G34" s="110">
        <v>0</v>
      </c>
      <c r="H34" s="110"/>
      <c r="I34" s="110">
        <v>0</v>
      </c>
      <c r="J34" s="21"/>
    </row>
    <row r="35" spans="1:10" ht="25.5">
      <c r="A35" s="41" t="s">
        <v>40</v>
      </c>
      <c r="B35" s="42" t="s">
        <v>28</v>
      </c>
      <c r="C35" s="40" t="s">
        <v>18</v>
      </c>
      <c r="D35" s="26"/>
      <c r="E35" s="26"/>
      <c r="F35" s="26"/>
      <c r="G35" s="48">
        <v>30</v>
      </c>
      <c r="H35" s="48"/>
      <c r="I35" s="48">
        <v>30</v>
      </c>
      <c r="J35" s="43"/>
    </row>
    <row r="36" spans="1:10" ht="76.5">
      <c r="A36" s="4">
        <v>291</v>
      </c>
      <c r="B36" s="31" t="s">
        <v>53</v>
      </c>
      <c r="C36" s="32" t="s">
        <v>14</v>
      </c>
      <c r="D36" s="24"/>
      <c r="E36" s="24"/>
      <c r="F36" s="24"/>
      <c r="G36" s="46">
        <v>2</v>
      </c>
      <c r="H36" s="46"/>
      <c r="I36" s="46">
        <v>2</v>
      </c>
      <c r="J36" s="33" t="s">
        <v>117</v>
      </c>
    </row>
    <row r="37" spans="1:10">
      <c r="A37" s="4">
        <v>292</v>
      </c>
      <c r="B37" s="31" t="s">
        <v>103</v>
      </c>
      <c r="C37" s="32" t="s">
        <v>18</v>
      </c>
      <c r="D37" s="24"/>
      <c r="E37" s="24"/>
      <c r="F37" s="24"/>
      <c r="G37" s="46">
        <v>22</v>
      </c>
      <c r="H37" s="46"/>
      <c r="I37" s="46">
        <v>22</v>
      </c>
      <c r="J37" s="121" t="s">
        <v>118</v>
      </c>
    </row>
    <row r="38" spans="1:10" ht="25.5">
      <c r="A38" s="41" t="s">
        <v>40</v>
      </c>
      <c r="B38" s="42" t="s">
        <v>119</v>
      </c>
      <c r="C38" s="40" t="s">
        <v>18</v>
      </c>
      <c r="D38" s="26"/>
      <c r="E38" s="26"/>
      <c r="F38" s="26"/>
      <c r="G38" s="48">
        <v>2</v>
      </c>
      <c r="H38" s="48"/>
      <c r="I38" s="48">
        <v>2</v>
      </c>
      <c r="J38" s="33"/>
    </row>
    <row r="39" spans="1:10">
      <c r="A39" s="4">
        <v>293</v>
      </c>
      <c r="B39" s="31" t="s">
        <v>104</v>
      </c>
      <c r="C39" s="32" t="s">
        <v>18</v>
      </c>
      <c r="D39" s="24"/>
      <c r="E39" s="24"/>
      <c r="F39" s="24"/>
      <c r="G39" s="110">
        <v>10</v>
      </c>
      <c r="H39" s="110"/>
      <c r="I39" s="110">
        <v>10</v>
      </c>
      <c r="J39" s="21"/>
    </row>
    <row r="40" spans="1:10">
      <c r="A40" s="4">
        <v>294</v>
      </c>
      <c r="B40" s="31" t="s">
        <v>105</v>
      </c>
      <c r="C40" s="32" t="s">
        <v>18</v>
      </c>
      <c r="D40" s="24"/>
      <c r="E40" s="24"/>
      <c r="F40" s="24"/>
      <c r="G40" s="110">
        <v>50</v>
      </c>
      <c r="H40" s="110"/>
      <c r="I40" s="110">
        <v>50</v>
      </c>
      <c r="J40" s="21"/>
    </row>
    <row r="41" spans="1:10">
      <c r="A41" s="4">
        <v>295</v>
      </c>
      <c r="B41" s="31" t="s">
        <v>34</v>
      </c>
      <c r="C41" s="32" t="s">
        <v>18</v>
      </c>
      <c r="D41" s="24"/>
      <c r="E41" s="24"/>
      <c r="F41" s="24"/>
      <c r="G41" s="46">
        <v>37</v>
      </c>
      <c r="H41" s="46"/>
      <c r="I41" s="46">
        <v>37</v>
      </c>
      <c r="J41" s="33"/>
    </row>
    <row r="42" spans="1:10" ht="127.5">
      <c r="A42" s="4">
        <v>296</v>
      </c>
      <c r="B42" s="31" t="s">
        <v>106</v>
      </c>
      <c r="C42" s="32" t="s">
        <v>14</v>
      </c>
      <c r="D42" s="24"/>
      <c r="E42" s="24"/>
      <c r="F42" s="24"/>
      <c r="G42" s="46">
        <v>1</v>
      </c>
      <c r="H42" s="46"/>
      <c r="I42" s="46">
        <v>1</v>
      </c>
      <c r="J42" s="21"/>
    </row>
    <row r="43" spans="1:10" ht="127.5">
      <c r="A43" s="4">
        <v>297</v>
      </c>
      <c r="B43" s="31" t="s">
        <v>107</v>
      </c>
      <c r="C43" s="32" t="s">
        <v>14</v>
      </c>
      <c r="D43" s="24"/>
      <c r="E43" s="24"/>
      <c r="F43" s="24"/>
      <c r="G43" s="110">
        <v>2</v>
      </c>
      <c r="H43" s="110"/>
      <c r="I43" s="110">
        <v>2</v>
      </c>
      <c r="J43" s="21"/>
    </row>
    <row r="44" spans="1:10" ht="216.75">
      <c r="A44" s="4">
        <v>298</v>
      </c>
      <c r="B44" s="31" t="s">
        <v>108</v>
      </c>
      <c r="C44" s="32" t="s">
        <v>14</v>
      </c>
      <c r="D44" s="24"/>
      <c r="E44" s="24"/>
      <c r="F44" s="24"/>
      <c r="G44" s="110">
        <v>2</v>
      </c>
      <c r="H44" s="110"/>
      <c r="I44" s="110">
        <v>2</v>
      </c>
      <c r="J44" s="30" t="s">
        <v>120</v>
      </c>
    </row>
    <row r="45" spans="1:10" ht="38.25">
      <c r="A45" s="4">
        <v>299</v>
      </c>
      <c r="B45" s="31" t="s">
        <v>109</v>
      </c>
      <c r="C45" s="32" t="s">
        <v>14</v>
      </c>
      <c r="D45" s="24"/>
      <c r="E45" s="24"/>
      <c r="F45" s="24"/>
      <c r="G45" s="46">
        <v>2</v>
      </c>
      <c r="H45" s="46"/>
      <c r="I45" s="46">
        <v>2</v>
      </c>
      <c r="J45" s="33"/>
    </row>
    <row r="46" spans="1:10" ht="25.5">
      <c r="A46" s="41" t="s">
        <v>40</v>
      </c>
      <c r="B46" s="42" t="s">
        <v>122</v>
      </c>
      <c r="C46" s="40" t="s">
        <v>14</v>
      </c>
      <c r="D46" s="26"/>
      <c r="E46" s="26"/>
      <c r="F46" s="26"/>
      <c r="G46" s="48">
        <v>1</v>
      </c>
      <c r="H46" s="48"/>
      <c r="I46" s="48">
        <v>1</v>
      </c>
      <c r="J46" s="33"/>
    </row>
    <row r="47" spans="1:10">
      <c r="A47" s="4">
        <v>300</v>
      </c>
      <c r="B47" s="31" t="s">
        <v>110</v>
      </c>
      <c r="C47" s="32" t="s">
        <v>14</v>
      </c>
      <c r="D47" s="24"/>
      <c r="E47" s="24"/>
      <c r="F47" s="24"/>
      <c r="G47" s="46">
        <v>1</v>
      </c>
      <c r="H47" s="46"/>
      <c r="I47" s="46">
        <v>1</v>
      </c>
      <c r="J47" s="21"/>
    </row>
    <row r="48" spans="1:10" ht="25.5">
      <c r="A48" s="41" t="s">
        <v>40</v>
      </c>
      <c r="B48" s="42" t="s">
        <v>121</v>
      </c>
      <c r="C48" s="40" t="s">
        <v>14</v>
      </c>
      <c r="D48" s="26"/>
      <c r="E48" s="26"/>
      <c r="F48" s="26"/>
      <c r="G48" s="48">
        <v>1</v>
      </c>
      <c r="H48" s="48"/>
      <c r="I48" s="48">
        <v>1</v>
      </c>
      <c r="J48" s="43"/>
    </row>
    <row r="49" spans="1:10">
      <c r="A49" s="4">
        <v>301</v>
      </c>
      <c r="B49" s="31" t="s">
        <v>38</v>
      </c>
      <c r="C49" s="32" t="s">
        <v>14</v>
      </c>
      <c r="D49" s="24"/>
      <c r="E49" s="24"/>
      <c r="F49" s="24"/>
      <c r="G49" s="110">
        <v>0</v>
      </c>
      <c r="H49" s="110"/>
      <c r="I49" s="110">
        <v>0</v>
      </c>
      <c r="J49" s="21"/>
    </row>
    <row r="50" spans="1:10" ht="360.75" customHeight="1">
      <c r="A50" s="4">
        <v>302</v>
      </c>
      <c r="B50" s="31" t="s">
        <v>54</v>
      </c>
      <c r="C50" s="32"/>
      <c r="D50" s="24"/>
      <c r="E50" s="24"/>
      <c r="F50" s="24"/>
      <c r="G50" s="110">
        <v>1</v>
      </c>
      <c r="H50" s="110"/>
      <c r="I50" s="110">
        <v>1</v>
      </c>
      <c r="J50" s="21"/>
    </row>
    <row r="51" spans="1:10" ht="153">
      <c r="A51" s="4">
        <v>303</v>
      </c>
      <c r="B51" s="31" t="s">
        <v>111</v>
      </c>
      <c r="C51" s="32"/>
      <c r="D51" s="24"/>
      <c r="E51" s="24"/>
      <c r="F51" s="24"/>
      <c r="G51" s="46">
        <v>2</v>
      </c>
      <c r="H51" s="46"/>
      <c r="I51" s="46">
        <v>2</v>
      </c>
      <c r="J51" s="33"/>
    </row>
    <row r="52" spans="1:10">
      <c r="A52" s="4">
        <v>304</v>
      </c>
      <c r="B52" s="31" t="s">
        <v>112</v>
      </c>
      <c r="C52" s="32"/>
      <c r="D52" s="24"/>
      <c r="E52" s="24"/>
      <c r="F52" s="24"/>
      <c r="G52" s="46">
        <v>0</v>
      </c>
      <c r="H52" s="46"/>
      <c r="I52" s="46">
        <v>0</v>
      </c>
      <c r="J52" s="33"/>
    </row>
    <row r="53" spans="1:10" ht="140.25">
      <c r="A53" s="4">
        <v>305</v>
      </c>
      <c r="B53" s="31" t="s">
        <v>113</v>
      </c>
      <c r="C53" s="32"/>
      <c r="D53" s="24"/>
      <c r="E53" s="24"/>
      <c r="F53" s="24"/>
      <c r="G53" s="46">
        <v>8</v>
      </c>
      <c r="H53" s="46"/>
      <c r="I53" s="46">
        <v>8</v>
      </c>
      <c r="J53" s="33"/>
    </row>
    <row r="54" spans="1:10" ht="102">
      <c r="A54" s="4">
        <v>306</v>
      </c>
      <c r="B54" s="31" t="s">
        <v>114</v>
      </c>
      <c r="C54" s="32"/>
      <c r="D54" s="24"/>
      <c r="E54" s="24"/>
      <c r="F54" s="24"/>
      <c r="G54" s="46">
        <v>0</v>
      </c>
      <c r="H54" s="46"/>
      <c r="I54" s="46">
        <v>0</v>
      </c>
      <c r="J54" s="33"/>
    </row>
    <row r="55" spans="1:10">
      <c r="A55" s="113"/>
      <c r="B55" s="114"/>
      <c r="C55" s="115"/>
      <c r="D55" s="116"/>
      <c r="E55" s="116"/>
      <c r="F55" s="116"/>
      <c r="G55" s="117"/>
      <c r="H55" s="117"/>
      <c r="I55" s="117"/>
      <c r="J55" s="118"/>
    </row>
    <row r="56" spans="1:10">
      <c r="A56" s="113"/>
      <c r="B56" s="114"/>
      <c r="C56" s="115"/>
      <c r="D56" s="116"/>
      <c r="E56" s="116"/>
      <c r="F56" s="116"/>
      <c r="G56" s="117"/>
      <c r="H56" s="117"/>
      <c r="I56" s="117"/>
      <c r="J56" s="118"/>
    </row>
  </sheetData>
  <mergeCells count="18">
    <mergeCell ref="I10:I11"/>
    <mergeCell ref="J10:J11"/>
    <mergeCell ref="A9:C9"/>
    <mergeCell ref="E9:F9"/>
    <mergeCell ref="G9:I9"/>
    <mergeCell ref="A10:A11"/>
    <mergeCell ref="B10:B11"/>
    <mergeCell ref="C10:C11"/>
    <mergeCell ref="D10:D11"/>
    <mergeCell ref="E10:E11"/>
    <mergeCell ref="F10:F11"/>
    <mergeCell ref="G10:H10"/>
    <mergeCell ref="A1:B7"/>
    <mergeCell ref="C1:F7"/>
    <mergeCell ref="G1:H7"/>
    <mergeCell ref="I1:J7"/>
    <mergeCell ref="A8:C8"/>
    <mergeCell ref="E8:I8"/>
  </mergeCells>
  <printOptions horizontalCentered="1"/>
  <pageMargins left="0" right="0" top="0" bottom="0" header="0" footer="0"/>
  <pageSetup paperSize="9" scale="91" fitToHeight="0" orientation="portrait" r:id="rId1"/>
  <headerFooter scaleWithDoc="0">
    <oddFooter xml:space="preserve">&amp;Lمراجعة : 
مهندس المالك &amp;Rإعداد : 
مهندس المقاول </oddFooter>
  </headerFooter>
  <rowBreaks count="2" manualBreakCount="2">
    <brk id="15" max="9" man="1"/>
    <brk id="23" max="9" man="1"/>
  </rowBreaks>
  <drawing r:id="rId2"/>
  <legacyDrawing r:id="rId3"/>
  <oleObjects>
    <mc:AlternateContent xmlns:mc="http://schemas.openxmlformats.org/markup-compatibility/2006">
      <mc:Choice Requires="x14">
        <oleObject progId="StaticMetafile" shapeId="14337" r:id="rId4">
          <objectPr defaultSize="0" autoPict="0" r:id="rId5">
            <anchor moveWithCells="1">
              <from>
                <xdr:col>6</xdr:col>
                <xdr:colOff>114300</xdr:colOff>
                <xdr:row>0</xdr:row>
                <xdr:rowOff>28575</xdr:rowOff>
              </from>
              <to>
                <xdr:col>7</xdr:col>
                <xdr:colOff>257175</xdr:colOff>
                <xdr:row>4</xdr:row>
                <xdr:rowOff>133350</xdr:rowOff>
              </to>
            </anchor>
          </objectPr>
        </oleObject>
      </mc:Choice>
      <mc:Fallback>
        <oleObject progId="StaticMetafile" shapeId="14337"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10AD8-0DA1-4A6B-8149-80D4E17633FB}">
  <sheetPr>
    <pageSetUpPr fitToPage="1"/>
  </sheetPr>
  <dimension ref="A1:J43"/>
  <sheetViews>
    <sheetView view="pageBreakPreview" topLeftCell="A31" zoomScale="115" zoomScaleSheetLayoutView="115" workbookViewId="0">
      <selection activeCell="F41" sqref="F41"/>
    </sheetView>
  </sheetViews>
  <sheetFormatPr defaultRowHeight="15"/>
  <cols>
    <col min="1" max="1" width="4.7109375" customWidth="1"/>
    <col min="2" max="2" width="27.42578125" customWidth="1"/>
    <col min="3" max="3" width="11.7109375" customWidth="1"/>
    <col min="4" max="4" width="6.140625" style="12" customWidth="1"/>
    <col min="5" max="5" width="6.7109375" style="12" customWidth="1"/>
    <col min="6" max="6" width="8.7109375" style="12" customWidth="1"/>
    <col min="7" max="7" width="8.28515625" style="12" customWidth="1"/>
    <col min="8" max="8" width="7.7109375" style="12" customWidth="1"/>
    <col min="9" max="9" width="11.5703125" style="12" customWidth="1"/>
    <col min="10" max="10" width="20.42578125" customWidth="1"/>
  </cols>
  <sheetData>
    <row r="1" spans="1:10" s="1" customFormat="1" ht="11.25" customHeight="1" thickTop="1">
      <c r="A1" s="80"/>
      <c r="B1" s="81"/>
      <c r="C1" s="80"/>
      <c r="D1" s="86"/>
      <c r="E1" s="86"/>
      <c r="F1" s="81"/>
      <c r="G1" s="89"/>
      <c r="H1" s="90"/>
      <c r="I1" s="95"/>
      <c r="J1" s="90"/>
    </row>
    <row r="2" spans="1:10" s="1" customFormat="1" ht="11.25" customHeight="1">
      <c r="A2" s="82"/>
      <c r="B2" s="83"/>
      <c r="C2" s="82"/>
      <c r="D2" s="87"/>
      <c r="E2" s="87"/>
      <c r="F2" s="83"/>
      <c r="G2" s="91"/>
      <c r="H2" s="92"/>
      <c r="I2" s="96"/>
      <c r="J2" s="92"/>
    </row>
    <row r="3" spans="1:10" s="1" customFormat="1" ht="11.25" customHeight="1">
      <c r="A3" s="82"/>
      <c r="B3" s="83"/>
      <c r="C3" s="82"/>
      <c r="D3" s="87"/>
      <c r="E3" s="87"/>
      <c r="F3" s="83"/>
      <c r="G3" s="91"/>
      <c r="H3" s="92"/>
      <c r="I3" s="96"/>
      <c r="J3" s="92"/>
    </row>
    <row r="4" spans="1:10" s="3" customFormat="1" ht="21" customHeight="1">
      <c r="A4" s="82"/>
      <c r="B4" s="83"/>
      <c r="C4" s="82"/>
      <c r="D4" s="87"/>
      <c r="E4" s="87"/>
      <c r="F4" s="83"/>
      <c r="G4" s="91"/>
      <c r="H4" s="92"/>
      <c r="I4" s="96"/>
      <c r="J4" s="92"/>
    </row>
    <row r="5" spans="1:10" s="3" customFormat="1" ht="24" customHeight="1">
      <c r="A5" s="82"/>
      <c r="B5" s="83"/>
      <c r="C5" s="82"/>
      <c r="D5" s="87"/>
      <c r="E5" s="87"/>
      <c r="F5" s="83"/>
      <c r="G5" s="91"/>
      <c r="H5" s="92"/>
      <c r="I5" s="96"/>
      <c r="J5" s="92"/>
    </row>
    <row r="6" spans="1:10" s="3" customFormat="1" ht="28.5" customHeight="1">
      <c r="A6" s="82"/>
      <c r="B6" s="83"/>
      <c r="C6" s="82"/>
      <c r="D6" s="87"/>
      <c r="E6" s="87"/>
      <c r="F6" s="83"/>
      <c r="G6" s="91"/>
      <c r="H6" s="92"/>
      <c r="I6" s="96"/>
      <c r="J6" s="92"/>
    </row>
    <row r="7" spans="1:10" s="3" customFormat="1" ht="25.5" customHeight="1" thickBot="1">
      <c r="A7" s="84"/>
      <c r="B7" s="85"/>
      <c r="C7" s="84"/>
      <c r="D7" s="88"/>
      <c r="E7" s="88"/>
      <c r="F7" s="85"/>
      <c r="G7" s="93"/>
      <c r="H7" s="94"/>
      <c r="I7" s="97"/>
      <c r="J7" s="94"/>
    </row>
    <row r="8" spans="1:10" s="3" customFormat="1" ht="27.75" customHeight="1" thickTop="1">
      <c r="A8" s="98" t="s">
        <v>123</v>
      </c>
      <c r="B8" s="99"/>
      <c r="C8" s="99"/>
      <c r="D8" s="50"/>
      <c r="E8" s="99" t="s">
        <v>15</v>
      </c>
      <c r="F8" s="99"/>
      <c r="G8" s="99"/>
      <c r="H8" s="99"/>
      <c r="I8" s="99"/>
      <c r="J8" s="14" t="s">
        <v>11</v>
      </c>
    </row>
    <row r="9" spans="1:10" s="3" customFormat="1" ht="27" customHeight="1">
      <c r="A9" s="70" t="s">
        <v>17</v>
      </c>
      <c r="B9" s="71"/>
      <c r="C9" s="71"/>
      <c r="D9" s="23"/>
      <c r="E9" s="72" t="s">
        <v>13</v>
      </c>
      <c r="F9" s="72"/>
      <c r="G9" s="73" t="s">
        <v>16</v>
      </c>
      <c r="H9" s="72"/>
      <c r="I9" s="72"/>
      <c r="J9" s="15" t="s">
        <v>12</v>
      </c>
    </row>
    <row r="10" spans="1:10" s="1" customFormat="1" ht="14.25" customHeight="1">
      <c r="A10" s="74" t="s">
        <v>0</v>
      </c>
      <c r="B10" s="76" t="s">
        <v>1</v>
      </c>
      <c r="C10" s="76" t="s">
        <v>2</v>
      </c>
      <c r="D10" s="66" t="s">
        <v>3</v>
      </c>
      <c r="E10" s="66" t="s">
        <v>4</v>
      </c>
      <c r="F10" s="66" t="s">
        <v>5</v>
      </c>
      <c r="G10" s="78" t="s">
        <v>6</v>
      </c>
      <c r="H10" s="79"/>
      <c r="I10" s="66" t="s">
        <v>7</v>
      </c>
      <c r="J10" s="68" t="s">
        <v>8</v>
      </c>
    </row>
    <row r="11" spans="1:10" s="1" customFormat="1" ht="14.25" customHeight="1">
      <c r="A11" s="75"/>
      <c r="B11" s="77"/>
      <c r="C11" s="77"/>
      <c r="D11" s="67"/>
      <c r="E11" s="67"/>
      <c r="F11" s="67"/>
      <c r="G11" s="49" t="s">
        <v>9</v>
      </c>
      <c r="H11" s="49" t="s">
        <v>10</v>
      </c>
      <c r="I11" s="67"/>
      <c r="J11" s="69"/>
    </row>
    <row r="12" spans="1:10" ht="243" thickBot="1">
      <c r="A12" s="4">
        <v>307</v>
      </c>
      <c r="B12" s="28" t="s">
        <v>21</v>
      </c>
      <c r="C12" s="32" t="s">
        <v>14</v>
      </c>
      <c r="D12" s="16"/>
      <c r="E12" s="17"/>
      <c r="F12" s="16"/>
      <c r="G12" s="24">
        <v>7</v>
      </c>
      <c r="H12" s="24"/>
      <c r="I12" s="51">
        <v>7</v>
      </c>
      <c r="J12" s="25"/>
    </row>
    <row r="13" spans="1:10" ht="90" thickTop="1">
      <c r="A13" s="4">
        <v>308</v>
      </c>
      <c r="B13" s="28" t="s">
        <v>41</v>
      </c>
      <c r="C13" s="32" t="s">
        <v>14</v>
      </c>
      <c r="D13" s="18"/>
      <c r="E13" s="19"/>
      <c r="F13" s="20"/>
      <c r="G13" s="24">
        <v>3</v>
      </c>
      <c r="H13" s="24"/>
      <c r="I13" s="24">
        <v>3</v>
      </c>
      <c r="J13" s="25"/>
    </row>
    <row r="14" spans="1:10" ht="30">
      <c r="A14" s="100">
        <v>309</v>
      </c>
      <c r="B14" s="126" t="s">
        <v>124</v>
      </c>
      <c r="C14" s="102" t="s">
        <v>14</v>
      </c>
      <c r="D14" s="127"/>
      <c r="E14" s="128"/>
      <c r="F14" s="129"/>
      <c r="G14" s="46">
        <v>0</v>
      </c>
      <c r="H14" s="46"/>
      <c r="I14" s="46">
        <v>0</v>
      </c>
      <c r="J14" s="25"/>
    </row>
    <row r="15" spans="1:10" ht="30">
      <c r="A15" s="41" t="s">
        <v>40</v>
      </c>
      <c r="B15" s="122" t="s">
        <v>125</v>
      </c>
      <c r="C15" s="40" t="s">
        <v>18</v>
      </c>
      <c r="D15" s="123"/>
      <c r="E15" s="124"/>
      <c r="F15" s="125"/>
      <c r="G15" s="120">
        <v>1</v>
      </c>
      <c r="H15" s="120"/>
      <c r="I15" s="120">
        <f t="shared" ref="I14:I28" si="0">G15</f>
        <v>1</v>
      </c>
      <c r="J15" s="25"/>
    </row>
    <row r="16" spans="1:10" ht="180">
      <c r="A16" s="4">
        <v>310</v>
      </c>
      <c r="B16" s="27" t="s">
        <v>126</v>
      </c>
      <c r="C16" s="32" t="s">
        <v>14</v>
      </c>
      <c r="D16" s="24"/>
      <c r="E16" s="24"/>
      <c r="F16" s="24"/>
      <c r="G16" s="47">
        <v>4</v>
      </c>
      <c r="H16" s="47"/>
      <c r="I16" s="47">
        <v>4</v>
      </c>
      <c r="J16" s="21"/>
    </row>
    <row r="17" spans="1:10" ht="204" customHeight="1">
      <c r="A17" s="4">
        <v>311</v>
      </c>
      <c r="B17" s="28" t="s">
        <v>23</v>
      </c>
      <c r="C17" s="32" t="s">
        <v>14</v>
      </c>
      <c r="D17" s="24"/>
      <c r="E17" s="24"/>
      <c r="F17" s="24"/>
      <c r="G17" s="47">
        <v>2</v>
      </c>
      <c r="H17" s="47"/>
      <c r="I17" s="47">
        <v>2</v>
      </c>
      <c r="J17" s="21"/>
    </row>
    <row r="18" spans="1:10" ht="185.25" customHeight="1">
      <c r="A18" s="4">
        <v>312</v>
      </c>
      <c r="B18" s="28" t="s">
        <v>24</v>
      </c>
      <c r="C18" s="32" t="s">
        <v>14</v>
      </c>
      <c r="D18" s="24"/>
      <c r="E18" s="24"/>
      <c r="F18" s="24"/>
      <c r="G18" s="110">
        <v>2</v>
      </c>
      <c r="H18" s="110"/>
      <c r="I18" s="110">
        <v>2</v>
      </c>
      <c r="J18" s="21"/>
    </row>
    <row r="19" spans="1:10" ht="127.5">
      <c r="A19" s="4">
        <v>313</v>
      </c>
      <c r="B19" s="28" t="s">
        <v>52</v>
      </c>
      <c r="C19" s="32" t="s">
        <v>18</v>
      </c>
      <c r="D19" s="24"/>
      <c r="E19" s="24"/>
      <c r="F19" s="24"/>
      <c r="G19" s="47">
        <v>21</v>
      </c>
      <c r="H19" s="47"/>
      <c r="I19" s="47">
        <f t="shared" si="0"/>
        <v>21</v>
      </c>
      <c r="J19" s="21"/>
    </row>
    <row r="20" spans="1:10" ht="25.5">
      <c r="A20" s="54">
        <v>314</v>
      </c>
      <c r="B20" s="28" t="s">
        <v>26</v>
      </c>
      <c r="C20" s="32" t="s">
        <v>18</v>
      </c>
      <c r="D20" s="24"/>
      <c r="E20" s="24"/>
      <c r="F20" s="24"/>
      <c r="G20" s="47">
        <v>27</v>
      </c>
      <c r="H20" s="47"/>
      <c r="I20" s="47">
        <f t="shared" si="0"/>
        <v>27</v>
      </c>
      <c r="J20" s="30"/>
    </row>
    <row r="21" spans="1:10" ht="25.5">
      <c r="A21" s="4">
        <v>315</v>
      </c>
      <c r="B21" s="31" t="s">
        <v>27</v>
      </c>
      <c r="C21" s="32" t="s">
        <v>18</v>
      </c>
      <c r="D21" s="24"/>
      <c r="E21" s="24"/>
      <c r="F21" s="24"/>
      <c r="G21" s="47">
        <v>16</v>
      </c>
      <c r="H21" s="47"/>
      <c r="I21" s="47">
        <f t="shared" si="0"/>
        <v>16</v>
      </c>
      <c r="J21" s="21"/>
    </row>
    <row r="22" spans="1:10" ht="25.5">
      <c r="A22" s="4">
        <v>316</v>
      </c>
      <c r="B22" s="31" t="s">
        <v>28</v>
      </c>
      <c r="C22" s="32" t="s">
        <v>14</v>
      </c>
      <c r="D22" s="24"/>
      <c r="E22" s="24"/>
      <c r="F22" s="24"/>
      <c r="G22" s="47">
        <v>40</v>
      </c>
      <c r="H22" s="47"/>
      <c r="I22" s="47">
        <f t="shared" si="0"/>
        <v>40</v>
      </c>
      <c r="J22" s="21"/>
    </row>
    <row r="23" spans="1:10" ht="76.5">
      <c r="A23" s="4">
        <v>317</v>
      </c>
      <c r="B23" s="31" t="s">
        <v>29</v>
      </c>
      <c r="C23" s="32" t="s">
        <v>14</v>
      </c>
      <c r="D23" s="24"/>
      <c r="E23" s="24"/>
      <c r="F23" s="24"/>
      <c r="G23" s="47">
        <v>2</v>
      </c>
      <c r="H23" s="47"/>
      <c r="I23" s="47">
        <v>2</v>
      </c>
      <c r="J23" s="21"/>
    </row>
    <row r="24" spans="1:10" ht="89.25">
      <c r="A24" s="4">
        <v>318</v>
      </c>
      <c r="B24" s="31" t="s">
        <v>30</v>
      </c>
      <c r="C24" s="32" t="s">
        <v>14</v>
      </c>
      <c r="D24" s="24"/>
      <c r="E24" s="24"/>
      <c r="F24" s="24"/>
      <c r="G24" s="47">
        <v>5</v>
      </c>
      <c r="H24" s="47"/>
      <c r="I24" s="47">
        <f t="shared" si="0"/>
        <v>5</v>
      </c>
      <c r="J24" s="21"/>
    </row>
    <row r="25" spans="1:10" ht="63.75">
      <c r="A25" s="4">
        <v>319</v>
      </c>
      <c r="B25" s="31" t="s">
        <v>100</v>
      </c>
      <c r="C25" s="32" t="s">
        <v>14</v>
      </c>
      <c r="D25" s="24"/>
      <c r="E25" s="24"/>
      <c r="F25" s="24"/>
      <c r="G25" s="47">
        <v>1</v>
      </c>
      <c r="H25" s="47"/>
      <c r="I25" s="47">
        <f t="shared" si="0"/>
        <v>1</v>
      </c>
      <c r="J25" s="21"/>
    </row>
    <row r="26" spans="1:10">
      <c r="A26" s="4">
        <v>320</v>
      </c>
      <c r="B26" s="31" t="s">
        <v>32</v>
      </c>
      <c r="C26" s="32" t="s">
        <v>14</v>
      </c>
      <c r="D26" s="24"/>
      <c r="E26" s="24"/>
      <c r="F26" s="24"/>
      <c r="G26" s="47">
        <v>1</v>
      </c>
      <c r="H26" s="47"/>
      <c r="I26" s="47">
        <f t="shared" si="0"/>
        <v>1</v>
      </c>
      <c r="J26" s="21"/>
    </row>
    <row r="27" spans="1:10" ht="153">
      <c r="A27" s="4">
        <v>321</v>
      </c>
      <c r="B27" s="31" t="s">
        <v>127</v>
      </c>
      <c r="C27" s="32" t="s">
        <v>18</v>
      </c>
      <c r="D27" s="24"/>
      <c r="E27" s="24"/>
      <c r="F27" s="24"/>
      <c r="G27" s="47">
        <v>15</v>
      </c>
      <c r="H27" s="47"/>
      <c r="I27" s="47">
        <f t="shared" si="0"/>
        <v>15</v>
      </c>
      <c r="J27" s="21"/>
    </row>
    <row r="28" spans="1:10">
      <c r="A28" s="4">
        <v>322</v>
      </c>
      <c r="B28" s="31" t="s">
        <v>34</v>
      </c>
      <c r="C28" s="32" t="s">
        <v>18</v>
      </c>
      <c r="D28" s="24"/>
      <c r="E28" s="24"/>
      <c r="F28" s="24"/>
      <c r="G28" s="47">
        <v>28</v>
      </c>
      <c r="H28" s="47"/>
      <c r="I28" s="47">
        <f t="shared" si="0"/>
        <v>28</v>
      </c>
      <c r="J28" s="21"/>
    </row>
    <row r="29" spans="1:10">
      <c r="A29" s="4">
        <v>323</v>
      </c>
      <c r="B29" s="31" t="s">
        <v>104</v>
      </c>
      <c r="C29" s="32" t="s">
        <v>18</v>
      </c>
      <c r="D29" s="24"/>
      <c r="E29" s="24"/>
      <c r="F29" s="24"/>
      <c r="G29" s="47"/>
      <c r="H29" s="47"/>
      <c r="I29" s="47"/>
      <c r="J29" s="21"/>
    </row>
    <row r="30" spans="1:10" ht="127.5">
      <c r="A30" s="4">
        <v>324</v>
      </c>
      <c r="B30" s="31" t="s">
        <v>128</v>
      </c>
      <c r="C30" s="32" t="s">
        <v>14</v>
      </c>
      <c r="D30" s="24"/>
      <c r="E30" s="24"/>
      <c r="F30" s="24"/>
      <c r="G30" s="47">
        <v>1</v>
      </c>
      <c r="H30" s="47"/>
      <c r="I30" s="47">
        <v>1</v>
      </c>
      <c r="J30" s="21"/>
    </row>
    <row r="31" spans="1:10" ht="25.5">
      <c r="A31" s="41" t="s">
        <v>40</v>
      </c>
      <c r="B31" s="29" t="s">
        <v>129</v>
      </c>
      <c r="C31" s="130" t="s">
        <v>14</v>
      </c>
      <c r="D31" s="26"/>
      <c r="E31" s="26"/>
      <c r="F31" s="26"/>
      <c r="G31" s="120">
        <v>3</v>
      </c>
      <c r="H31" s="120"/>
      <c r="I31" s="120">
        <v>3</v>
      </c>
      <c r="J31" s="131"/>
    </row>
    <row r="32" spans="1:10" ht="216.75">
      <c r="A32" s="4">
        <v>325</v>
      </c>
      <c r="B32" s="31" t="s">
        <v>36</v>
      </c>
      <c r="C32" s="32" t="s">
        <v>14</v>
      </c>
      <c r="D32" s="24"/>
      <c r="E32" s="24"/>
      <c r="F32" s="24"/>
      <c r="G32" s="47">
        <v>2</v>
      </c>
      <c r="H32" s="47"/>
      <c r="I32" s="47">
        <v>2</v>
      </c>
      <c r="J32" s="21"/>
    </row>
    <row r="33" spans="1:10" ht="38.25">
      <c r="A33" s="4">
        <v>326</v>
      </c>
      <c r="B33" s="31" t="s">
        <v>37</v>
      </c>
      <c r="C33" s="32" t="s">
        <v>14</v>
      </c>
      <c r="D33" s="24"/>
      <c r="E33" s="24"/>
      <c r="F33" s="24"/>
      <c r="G33" s="47">
        <v>2</v>
      </c>
      <c r="H33" s="47"/>
      <c r="I33" s="47">
        <v>2</v>
      </c>
      <c r="J33" s="21"/>
    </row>
    <row r="34" spans="1:10">
      <c r="A34" s="4">
        <v>327</v>
      </c>
      <c r="B34" s="31" t="s">
        <v>38</v>
      </c>
      <c r="C34" s="32" t="s">
        <v>14</v>
      </c>
      <c r="D34" s="24"/>
      <c r="E34" s="24"/>
      <c r="F34" s="24"/>
      <c r="G34" s="132">
        <v>0</v>
      </c>
      <c r="H34" s="132"/>
      <c r="I34" s="132">
        <v>0</v>
      </c>
      <c r="J34" s="21"/>
    </row>
    <row r="35" spans="1:10" ht="274.5" customHeight="1">
      <c r="A35" s="4">
        <v>328</v>
      </c>
      <c r="B35" s="31" t="s">
        <v>130</v>
      </c>
      <c r="C35" s="32" t="s">
        <v>14</v>
      </c>
      <c r="D35" s="24"/>
      <c r="E35" s="24"/>
      <c r="F35" s="24"/>
      <c r="G35" s="47">
        <v>5</v>
      </c>
      <c r="H35" s="47"/>
      <c r="I35" s="47">
        <v>5</v>
      </c>
      <c r="J35" s="21"/>
    </row>
    <row r="36" spans="1:10" ht="25.5">
      <c r="A36" s="29" t="s">
        <v>40</v>
      </c>
      <c r="B36" s="29" t="s">
        <v>131</v>
      </c>
      <c r="C36" s="29" t="s">
        <v>14</v>
      </c>
      <c r="D36" s="29"/>
      <c r="E36" s="29"/>
      <c r="F36" s="29"/>
      <c r="G36" s="29">
        <v>1</v>
      </c>
      <c r="H36" s="29"/>
      <c r="I36" s="29">
        <v>1</v>
      </c>
      <c r="J36" s="29"/>
    </row>
    <row r="37" spans="1:10">
      <c r="A37" s="113"/>
      <c r="B37" s="114"/>
      <c r="C37" s="115"/>
      <c r="D37" s="116"/>
      <c r="E37" s="116"/>
      <c r="F37" s="116"/>
      <c r="G37" s="133"/>
      <c r="H37" s="133"/>
      <c r="I37" s="133"/>
      <c r="J37" s="134"/>
    </row>
    <row r="38" spans="1:10">
      <c r="A38" s="113"/>
      <c r="B38" s="114"/>
      <c r="C38" s="115"/>
      <c r="D38" s="116"/>
      <c r="E38" s="116"/>
      <c r="F38" s="116"/>
      <c r="G38" s="133"/>
      <c r="H38" s="133"/>
      <c r="I38" s="133"/>
      <c r="J38" s="134"/>
    </row>
    <row r="39" spans="1:10">
      <c r="A39" s="113"/>
      <c r="B39" s="114"/>
      <c r="C39" s="115"/>
      <c r="D39" s="116"/>
      <c r="E39" s="116"/>
      <c r="F39" s="116"/>
      <c r="G39" s="133"/>
      <c r="H39" s="133"/>
      <c r="I39" s="133"/>
      <c r="J39" s="134"/>
    </row>
    <row r="40" spans="1:10">
      <c r="A40" s="113"/>
      <c r="B40" s="114"/>
      <c r="C40" s="115"/>
      <c r="D40" s="116"/>
      <c r="E40" s="116"/>
      <c r="F40" s="116"/>
      <c r="G40" s="133"/>
      <c r="H40" s="133"/>
      <c r="I40" s="133"/>
      <c r="J40" s="134"/>
    </row>
    <row r="41" spans="1:10">
      <c r="A41" s="113"/>
      <c r="B41" s="114"/>
      <c r="C41" s="115"/>
      <c r="D41" s="116"/>
      <c r="E41" s="116"/>
      <c r="F41" s="116"/>
      <c r="G41" s="133"/>
      <c r="H41" s="133"/>
      <c r="I41" s="133"/>
      <c r="J41" s="134"/>
    </row>
    <row r="42" spans="1:10">
      <c r="A42" s="113"/>
      <c r="B42" s="114"/>
      <c r="C42" s="115"/>
      <c r="D42" s="116"/>
      <c r="E42" s="116"/>
      <c r="F42" s="116"/>
      <c r="G42" s="133"/>
      <c r="H42" s="133"/>
      <c r="I42" s="133"/>
      <c r="J42" s="134"/>
    </row>
    <row r="43" spans="1:10">
      <c r="A43" s="135"/>
      <c r="B43" s="135"/>
      <c r="C43" s="135"/>
      <c r="D43" s="136"/>
      <c r="E43" s="136"/>
      <c r="F43" s="136"/>
      <c r="G43" s="136"/>
      <c r="H43" s="136"/>
      <c r="I43" s="136"/>
      <c r="J43" s="135"/>
    </row>
  </sheetData>
  <mergeCells count="18">
    <mergeCell ref="I10:I11"/>
    <mergeCell ref="J10:J11"/>
    <mergeCell ref="A9:C9"/>
    <mergeCell ref="E9:F9"/>
    <mergeCell ref="G9:I9"/>
    <mergeCell ref="A10:A11"/>
    <mergeCell ref="B10:B11"/>
    <mergeCell ref="C10:C11"/>
    <mergeCell ref="D10:D11"/>
    <mergeCell ref="E10:E11"/>
    <mergeCell ref="F10:F11"/>
    <mergeCell ref="G10:H10"/>
    <mergeCell ref="A1:B7"/>
    <mergeCell ref="C1:F7"/>
    <mergeCell ref="G1:H7"/>
    <mergeCell ref="I1:J7"/>
    <mergeCell ref="A8:C8"/>
    <mergeCell ref="E8:I8"/>
  </mergeCells>
  <printOptions horizontalCentered="1"/>
  <pageMargins left="0" right="0" top="0" bottom="0" header="0" footer="0"/>
  <pageSetup paperSize="9" scale="88" fitToHeight="0" orientation="portrait" r:id="rId1"/>
  <headerFooter scaleWithDoc="0">
    <oddFooter xml:space="preserve">&amp;Lمراجعة : 
مهندس المالك &amp;Rإعداد : 
مهندس المقاول </oddFooter>
  </headerFooter>
  <rowBreaks count="2" manualBreakCount="2">
    <brk id="15" max="9" man="1"/>
    <brk id="21" max="9" man="1"/>
  </rowBreaks>
  <drawing r:id="rId2"/>
  <legacyDrawing r:id="rId3"/>
  <oleObjects>
    <mc:AlternateContent xmlns:mc="http://schemas.openxmlformats.org/markup-compatibility/2006">
      <mc:Choice Requires="x14">
        <oleObject progId="StaticMetafile" shapeId="16385" r:id="rId4">
          <objectPr defaultSize="0" autoPict="0" r:id="rId5">
            <anchor moveWithCells="1">
              <from>
                <xdr:col>6</xdr:col>
                <xdr:colOff>114300</xdr:colOff>
                <xdr:row>0</xdr:row>
                <xdr:rowOff>28575</xdr:rowOff>
              </from>
              <to>
                <xdr:col>7</xdr:col>
                <xdr:colOff>257175</xdr:colOff>
                <xdr:row>4</xdr:row>
                <xdr:rowOff>133350</xdr:rowOff>
              </to>
            </anchor>
          </objectPr>
        </oleObject>
      </mc:Choice>
      <mc:Fallback>
        <oleObject progId="StaticMetafile" shapeId="16385"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810F-8ABF-4DEE-B8AC-CABD1216F462}">
  <sheetPr>
    <pageSetUpPr fitToPage="1"/>
  </sheetPr>
  <dimension ref="A1:J28"/>
  <sheetViews>
    <sheetView view="pageBreakPreview" zoomScale="115" zoomScaleSheetLayoutView="115" workbookViewId="0">
      <selection activeCell="B15" sqref="B15"/>
    </sheetView>
  </sheetViews>
  <sheetFormatPr defaultRowHeight="15"/>
  <cols>
    <col min="1" max="1" width="4.7109375" customWidth="1"/>
    <col min="2" max="2" width="27.42578125" customWidth="1"/>
    <col min="3" max="3" width="11.7109375" customWidth="1"/>
    <col min="4" max="4" width="6.140625" style="12" customWidth="1"/>
    <col min="5" max="5" width="6.7109375" style="12" customWidth="1"/>
    <col min="6" max="6" width="8.7109375" style="12" customWidth="1"/>
    <col min="7" max="7" width="8.28515625" style="12" customWidth="1"/>
    <col min="8" max="8" width="7.7109375" style="12" customWidth="1"/>
    <col min="9" max="9" width="11.5703125" style="12" customWidth="1"/>
    <col min="10" max="10" width="20.42578125" customWidth="1"/>
  </cols>
  <sheetData>
    <row r="1" spans="1:10" s="1" customFormat="1" ht="11.25" customHeight="1" thickTop="1">
      <c r="A1" s="80"/>
      <c r="B1" s="81"/>
      <c r="C1" s="80"/>
      <c r="D1" s="86"/>
      <c r="E1" s="86"/>
      <c r="F1" s="81"/>
      <c r="G1" s="89"/>
      <c r="H1" s="90"/>
      <c r="I1" s="95"/>
      <c r="J1" s="90"/>
    </row>
    <row r="2" spans="1:10" s="1" customFormat="1" ht="11.25" customHeight="1">
      <c r="A2" s="82"/>
      <c r="B2" s="83"/>
      <c r="C2" s="82"/>
      <c r="D2" s="87"/>
      <c r="E2" s="87"/>
      <c r="F2" s="83"/>
      <c r="G2" s="91"/>
      <c r="H2" s="92"/>
      <c r="I2" s="96"/>
      <c r="J2" s="92"/>
    </row>
    <row r="3" spans="1:10" s="1" customFormat="1" ht="11.25" customHeight="1">
      <c r="A3" s="82"/>
      <c r="B3" s="83"/>
      <c r="C3" s="82"/>
      <c r="D3" s="87"/>
      <c r="E3" s="87"/>
      <c r="F3" s="83"/>
      <c r="G3" s="91"/>
      <c r="H3" s="92"/>
      <c r="I3" s="96"/>
      <c r="J3" s="92"/>
    </row>
    <row r="4" spans="1:10" s="3" customFormat="1" ht="21" customHeight="1">
      <c r="A4" s="82"/>
      <c r="B4" s="83"/>
      <c r="C4" s="82"/>
      <c r="D4" s="87"/>
      <c r="E4" s="87"/>
      <c r="F4" s="83"/>
      <c r="G4" s="91"/>
      <c r="H4" s="92"/>
      <c r="I4" s="96"/>
      <c r="J4" s="92"/>
    </row>
    <row r="5" spans="1:10" s="3" customFormat="1" ht="24" customHeight="1">
      <c r="A5" s="82"/>
      <c r="B5" s="83"/>
      <c r="C5" s="82"/>
      <c r="D5" s="87"/>
      <c r="E5" s="87"/>
      <c r="F5" s="83"/>
      <c r="G5" s="91"/>
      <c r="H5" s="92"/>
      <c r="I5" s="96"/>
      <c r="J5" s="92"/>
    </row>
    <row r="6" spans="1:10" s="3" customFormat="1" ht="28.5" customHeight="1">
      <c r="A6" s="82"/>
      <c r="B6" s="83"/>
      <c r="C6" s="82"/>
      <c r="D6" s="87"/>
      <c r="E6" s="87"/>
      <c r="F6" s="83"/>
      <c r="G6" s="91"/>
      <c r="H6" s="92"/>
      <c r="I6" s="96"/>
      <c r="J6" s="92"/>
    </row>
    <row r="7" spans="1:10" s="3" customFormat="1" ht="25.5" customHeight="1" thickBot="1">
      <c r="A7" s="84"/>
      <c r="B7" s="85"/>
      <c r="C7" s="84"/>
      <c r="D7" s="88"/>
      <c r="E7" s="88"/>
      <c r="F7" s="85"/>
      <c r="G7" s="93"/>
      <c r="H7" s="94"/>
      <c r="I7" s="97"/>
      <c r="J7" s="94"/>
    </row>
    <row r="8" spans="1:10" s="3" customFormat="1" ht="27.75" customHeight="1" thickTop="1">
      <c r="A8" s="98" t="s">
        <v>46</v>
      </c>
      <c r="B8" s="99"/>
      <c r="C8" s="99"/>
      <c r="D8" s="35"/>
      <c r="E8" s="99" t="s">
        <v>15</v>
      </c>
      <c r="F8" s="99"/>
      <c r="G8" s="99"/>
      <c r="H8" s="99"/>
      <c r="I8" s="99"/>
      <c r="J8" s="14" t="s">
        <v>11</v>
      </c>
    </row>
    <row r="9" spans="1:10" s="3" customFormat="1" ht="27" customHeight="1">
      <c r="A9" s="70" t="s">
        <v>17</v>
      </c>
      <c r="B9" s="71"/>
      <c r="C9" s="71"/>
      <c r="D9" s="23"/>
      <c r="E9" s="72" t="s">
        <v>13</v>
      </c>
      <c r="F9" s="72"/>
      <c r="G9" s="73" t="s">
        <v>16</v>
      </c>
      <c r="H9" s="72"/>
      <c r="I9" s="72"/>
      <c r="J9" s="15" t="s">
        <v>12</v>
      </c>
    </row>
    <row r="10" spans="1:10" s="1" customFormat="1" ht="14.25" customHeight="1">
      <c r="A10" s="74" t="s">
        <v>0</v>
      </c>
      <c r="B10" s="76" t="s">
        <v>1</v>
      </c>
      <c r="C10" s="76" t="s">
        <v>2</v>
      </c>
      <c r="D10" s="66" t="s">
        <v>3</v>
      </c>
      <c r="E10" s="66" t="s">
        <v>4</v>
      </c>
      <c r="F10" s="66" t="s">
        <v>5</v>
      </c>
      <c r="G10" s="78" t="s">
        <v>6</v>
      </c>
      <c r="H10" s="79"/>
      <c r="I10" s="66" t="s">
        <v>7</v>
      </c>
      <c r="J10" s="68" t="s">
        <v>8</v>
      </c>
    </row>
    <row r="11" spans="1:10" s="1" customFormat="1" ht="14.25" customHeight="1">
      <c r="A11" s="75"/>
      <c r="B11" s="77"/>
      <c r="C11" s="77"/>
      <c r="D11" s="67"/>
      <c r="E11" s="67"/>
      <c r="F11" s="67"/>
      <c r="G11" s="34" t="s">
        <v>9</v>
      </c>
      <c r="H11" s="34" t="s">
        <v>10</v>
      </c>
      <c r="I11" s="67"/>
      <c r="J11" s="69"/>
    </row>
    <row r="12" spans="1:10" ht="102" customHeight="1" thickBot="1">
      <c r="A12" s="4">
        <v>329</v>
      </c>
      <c r="B12" s="28" t="s">
        <v>47</v>
      </c>
      <c r="C12" s="32" t="s">
        <v>14</v>
      </c>
      <c r="D12" s="16"/>
      <c r="E12" s="17"/>
      <c r="F12" s="16"/>
      <c r="G12" s="24">
        <v>6</v>
      </c>
      <c r="H12" s="24"/>
      <c r="I12" s="51">
        <f>G12</f>
        <v>6</v>
      </c>
      <c r="J12" s="25" t="s">
        <v>48</v>
      </c>
    </row>
    <row r="13" spans="1:10" ht="102.75" thickTop="1">
      <c r="A13" s="4">
        <v>330</v>
      </c>
      <c r="B13" s="28" t="s">
        <v>49</v>
      </c>
      <c r="C13" s="32" t="s">
        <v>14</v>
      </c>
      <c r="D13" s="18"/>
      <c r="E13" s="19"/>
      <c r="F13" s="20"/>
      <c r="G13" s="52">
        <v>0</v>
      </c>
      <c r="H13" s="53"/>
      <c r="I13" s="52">
        <v>0</v>
      </c>
      <c r="J13" s="25"/>
    </row>
    <row r="14" spans="1:10" ht="150">
      <c r="A14" s="54" t="s">
        <v>50</v>
      </c>
      <c r="B14" s="55" t="s">
        <v>51</v>
      </c>
      <c r="C14" s="32" t="s">
        <v>14</v>
      </c>
      <c r="D14" s="18"/>
      <c r="E14" s="19"/>
      <c r="F14" s="20"/>
      <c r="G14" s="52">
        <v>6</v>
      </c>
      <c r="H14" s="53"/>
      <c r="I14" s="52">
        <f t="shared" ref="I14:I25" si="0">G14</f>
        <v>6</v>
      </c>
      <c r="J14" s="25"/>
    </row>
    <row r="15" spans="1:10" ht="165">
      <c r="A15" s="4">
        <v>331</v>
      </c>
      <c r="B15" s="27" t="s">
        <v>52</v>
      </c>
      <c r="C15" s="32" t="s">
        <v>18</v>
      </c>
      <c r="D15" s="18"/>
      <c r="E15" s="19"/>
      <c r="F15" s="20"/>
      <c r="G15" s="24">
        <v>37</v>
      </c>
      <c r="H15" s="53"/>
      <c r="I15" s="24">
        <f t="shared" si="0"/>
        <v>37</v>
      </c>
      <c r="J15" s="25"/>
    </row>
    <row r="16" spans="1:10" ht="105">
      <c r="A16" s="4">
        <v>332</v>
      </c>
      <c r="B16" s="27" t="s">
        <v>53</v>
      </c>
      <c r="C16" s="32" t="s">
        <v>14</v>
      </c>
      <c r="D16" s="24"/>
      <c r="E16" s="24"/>
      <c r="F16" s="24"/>
      <c r="G16" s="110">
        <v>0</v>
      </c>
      <c r="H16" s="47"/>
      <c r="I16" s="110">
        <v>0</v>
      </c>
      <c r="J16" s="21"/>
    </row>
    <row r="17" spans="1:10" ht="204" customHeight="1">
      <c r="A17" s="4">
        <v>333</v>
      </c>
      <c r="B17" s="28" t="s">
        <v>54</v>
      </c>
      <c r="C17" s="32" t="s">
        <v>14</v>
      </c>
      <c r="D17" s="24"/>
      <c r="E17" s="24"/>
      <c r="F17" s="24"/>
      <c r="G17" s="24">
        <v>3</v>
      </c>
      <c r="H17" s="24"/>
      <c r="I17" s="24">
        <f t="shared" si="0"/>
        <v>3</v>
      </c>
      <c r="J17" s="21"/>
    </row>
    <row r="18" spans="1:10" ht="185.25" customHeight="1">
      <c r="A18" s="4">
        <v>334</v>
      </c>
      <c r="B18" s="28" t="s">
        <v>55</v>
      </c>
      <c r="C18" s="32" t="s">
        <v>18</v>
      </c>
      <c r="D18" s="24"/>
      <c r="E18" s="24"/>
      <c r="F18" s="24"/>
      <c r="G18" s="24">
        <v>450</v>
      </c>
      <c r="H18" s="24"/>
      <c r="I18" s="24">
        <f t="shared" si="0"/>
        <v>450</v>
      </c>
      <c r="J18" s="21"/>
    </row>
    <row r="19" spans="1:10" ht="25.5">
      <c r="A19" s="4">
        <v>335</v>
      </c>
      <c r="B19" s="28" t="s">
        <v>56</v>
      </c>
      <c r="C19" s="32" t="s">
        <v>18</v>
      </c>
      <c r="D19" s="24"/>
      <c r="E19" s="24"/>
      <c r="F19" s="24"/>
      <c r="G19" s="24">
        <v>175</v>
      </c>
      <c r="H19" s="24"/>
      <c r="I19" s="24">
        <f t="shared" si="0"/>
        <v>175</v>
      </c>
      <c r="J19" s="21"/>
    </row>
    <row r="20" spans="1:10" ht="38.25">
      <c r="A20" s="54" t="s">
        <v>50</v>
      </c>
      <c r="B20" s="29" t="s">
        <v>57</v>
      </c>
      <c r="C20" s="32" t="s">
        <v>18</v>
      </c>
      <c r="D20" s="24"/>
      <c r="E20" s="24"/>
      <c r="F20" s="24"/>
      <c r="G20" s="26">
        <v>70</v>
      </c>
      <c r="H20" s="24"/>
      <c r="I20" s="26">
        <f t="shared" si="0"/>
        <v>70</v>
      </c>
      <c r="J20" s="30" t="s">
        <v>58</v>
      </c>
    </row>
    <row r="21" spans="1:10" ht="153">
      <c r="A21" s="4">
        <v>336</v>
      </c>
      <c r="B21" s="31" t="s">
        <v>59</v>
      </c>
      <c r="C21" s="32" t="s">
        <v>14</v>
      </c>
      <c r="D21" s="24"/>
      <c r="E21" s="24"/>
      <c r="F21" s="24"/>
      <c r="G21" s="24">
        <v>1</v>
      </c>
      <c r="H21" s="24"/>
      <c r="I21" s="24">
        <f t="shared" si="0"/>
        <v>1</v>
      </c>
      <c r="J21" s="21"/>
    </row>
    <row r="22" spans="1:10" ht="127.5">
      <c r="A22" s="4">
        <v>337</v>
      </c>
      <c r="B22" s="31" t="s">
        <v>60</v>
      </c>
      <c r="C22" s="32" t="s">
        <v>14</v>
      </c>
      <c r="D22" s="24"/>
      <c r="E22" s="24"/>
      <c r="F22" s="24"/>
      <c r="G22" s="24">
        <v>1</v>
      </c>
      <c r="H22" s="24"/>
      <c r="I22" s="24">
        <f t="shared" si="0"/>
        <v>1</v>
      </c>
      <c r="J22" s="21"/>
    </row>
    <row r="23" spans="1:10" ht="44.25" customHeight="1">
      <c r="A23" s="4">
        <v>338</v>
      </c>
      <c r="B23" s="31" t="s">
        <v>61</v>
      </c>
      <c r="C23" s="32" t="s">
        <v>14</v>
      </c>
      <c r="D23" s="24"/>
      <c r="E23" s="24"/>
      <c r="F23" s="24"/>
      <c r="G23" s="24">
        <v>161</v>
      </c>
      <c r="H23" s="24"/>
      <c r="I23" s="24">
        <f t="shared" si="0"/>
        <v>161</v>
      </c>
      <c r="J23" s="21"/>
    </row>
    <row r="24" spans="1:10" ht="114.75">
      <c r="A24" s="4">
        <v>339</v>
      </c>
      <c r="B24" s="31" t="s">
        <v>62</v>
      </c>
      <c r="C24" s="32" t="s">
        <v>14</v>
      </c>
      <c r="D24" s="24"/>
      <c r="E24" s="24"/>
      <c r="F24" s="24"/>
      <c r="G24" s="52">
        <v>0</v>
      </c>
      <c r="H24" s="24"/>
      <c r="I24" s="52">
        <f t="shared" si="0"/>
        <v>0</v>
      </c>
      <c r="J24" s="21"/>
    </row>
    <row r="25" spans="1:10" ht="89.25">
      <c r="A25" s="4">
        <v>340</v>
      </c>
      <c r="B25" s="31" t="s">
        <v>63</v>
      </c>
      <c r="C25" s="32" t="s">
        <v>14</v>
      </c>
      <c r="D25" s="24"/>
      <c r="E25" s="24"/>
      <c r="F25" s="24"/>
      <c r="G25" s="52">
        <v>0</v>
      </c>
      <c r="H25" s="24"/>
      <c r="I25" s="52">
        <f t="shared" si="0"/>
        <v>0</v>
      </c>
      <c r="J25" s="33" t="s">
        <v>64</v>
      </c>
    </row>
    <row r="26" spans="1:10" ht="15.75" thickBot="1">
      <c r="A26" s="56"/>
      <c r="B26" s="57"/>
      <c r="C26" s="5"/>
      <c r="D26" s="6"/>
      <c r="E26" s="6"/>
      <c r="F26" s="6"/>
      <c r="G26" s="58"/>
      <c r="H26" s="59"/>
      <c r="I26" s="59"/>
      <c r="J26" s="7"/>
    </row>
    <row r="27" spans="1:10" ht="16.5" thickTop="1">
      <c r="A27" s="60"/>
      <c r="B27" s="61"/>
      <c r="C27" s="62"/>
      <c r="D27" s="63"/>
      <c r="E27" s="64"/>
      <c r="F27" s="63"/>
      <c r="G27" s="62"/>
      <c r="H27" s="62"/>
      <c r="I27" s="62"/>
      <c r="J27" s="65"/>
    </row>
    <row r="28" spans="1:10" ht="15.75">
      <c r="A28" s="8"/>
      <c r="B28" s="9"/>
      <c r="C28" s="10"/>
      <c r="D28" s="10"/>
      <c r="E28" s="2"/>
      <c r="F28" s="10"/>
      <c r="G28" s="10"/>
      <c r="H28" s="10"/>
      <c r="I28" s="9"/>
      <c r="J28" s="11"/>
    </row>
  </sheetData>
  <mergeCells count="18">
    <mergeCell ref="A1:B7"/>
    <mergeCell ref="C1:F7"/>
    <mergeCell ref="G1:H7"/>
    <mergeCell ref="I1:J7"/>
    <mergeCell ref="A8:C8"/>
    <mergeCell ref="E8:I8"/>
    <mergeCell ref="I10:I11"/>
    <mergeCell ref="J10:J11"/>
    <mergeCell ref="A9:C9"/>
    <mergeCell ref="E9:F9"/>
    <mergeCell ref="G9:I9"/>
    <mergeCell ref="A10:A11"/>
    <mergeCell ref="B10:B11"/>
    <mergeCell ref="C10:C11"/>
    <mergeCell ref="D10:D11"/>
    <mergeCell ref="E10:E11"/>
    <mergeCell ref="F10:F11"/>
    <mergeCell ref="G10:H10"/>
  </mergeCells>
  <printOptions horizontalCentered="1"/>
  <pageMargins left="0" right="0" top="0" bottom="0" header="0" footer="0"/>
  <pageSetup paperSize="9" scale="88" fitToHeight="0" orientation="portrait" r:id="rId1"/>
  <headerFooter scaleWithDoc="0">
    <oddFooter xml:space="preserve">&amp;Lمراجعة : 
مهندس المالك &amp;Rإعداد : 
مهندس المقاول </oddFooter>
  </headerFooter>
  <rowBreaks count="2" manualBreakCount="2">
    <brk id="15" max="9" man="1"/>
    <brk id="21" max="9" man="1"/>
  </rowBreaks>
  <drawing r:id="rId2"/>
  <legacyDrawing r:id="rId3"/>
  <oleObjects>
    <mc:AlternateContent xmlns:mc="http://schemas.openxmlformats.org/markup-compatibility/2006">
      <mc:Choice Requires="x14">
        <oleObject progId="StaticMetafile" shapeId="11265" r:id="rId4">
          <objectPr defaultSize="0" autoPict="0" r:id="rId5">
            <anchor moveWithCells="1">
              <from>
                <xdr:col>6</xdr:col>
                <xdr:colOff>114300</xdr:colOff>
                <xdr:row>0</xdr:row>
                <xdr:rowOff>28575</xdr:rowOff>
              </from>
              <to>
                <xdr:col>7</xdr:col>
                <xdr:colOff>257175</xdr:colOff>
                <xdr:row>4</xdr:row>
                <xdr:rowOff>133350</xdr:rowOff>
              </to>
            </anchor>
          </objectPr>
        </oleObject>
      </mc:Choice>
      <mc:Fallback>
        <oleObject progId="StaticMetafile" shapeId="1126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مبنى الحراسة ميكانيكا</vt:lpstr>
      <vt:lpstr>مبنى غرفة الكهرباء ميكانيكا</vt:lpstr>
      <vt:lpstr>مبنى سكن العاملين</vt:lpstr>
      <vt:lpstr>مبنى العيادة ميكانيكا</vt:lpstr>
      <vt:lpstr>مستودع الاعلاف ميكانيكا</vt:lpstr>
      <vt:lpstr>'مبنى الحراسة ميكانيكا'!Print_Area</vt:lpstr>
      <vt:lpstr>'مبنى العيادة ميكانيكا'!Print_Area</vt:lpstr>
      <vt:lpstr>'مبنى سكن العاملين'!Print_Area</vt:lpstr>
      <vt:lpstr>'مبنى غرفة الكهرباء ميكانيكا'!Print_Area</vt:lpstr>
      <vt:lpstr>'مستودع الاعلاف ميكانيكا'!Print_Area</vt:lpstr>
      <vt:lpstr>'مبنى الحراسة ميكانيكا'!Print_Titles</vt:lpstr>
      <vt:lpstr>'مبنى العيادة ميكانيكا'!Print_Titles</vt:lpstr>
      <vt:lpstr>'مبنى سكن العاملين'!Print_Titles</vt:lpstr>
      <vt:lpstr>'مبنى غرفة الكهرباء ميكانيكا'!Print_Titles</vt:lpstr>
      <vt:lpstr>'مستودع الاعلاف ميكانيكا'!Print_Titles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2025-07-23T12:59:58Z</cp:lastPrinted>
  <dcterms:created xsi:type="dcterms:W3CDTF">2021-01-30T06:40:58Z</dcterms:created>
  <dcterms:modified xsi:type="dcterms:W3CDTF">2025-07-27T13:05:08Z</dcterms:modified>
</cp:coreProperties>
</file>